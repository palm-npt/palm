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99_Training\Training_SWDesign\AI_workflowTraining\AI_assisted_SW_Dev_WorkFlow-main-21_Work_product-01_Trial_Workflow_V0\21_Work_product\01_Trial_Workflow_V0\00_Requirement\"/>
    </mc:Choice>
  </mc:AlternateContent>
  <xr:revisionPtr revIDLastSave="0" documentId="13_ncr:1_{0EC6FD74-81A4-4D9B-B0EE-442925095041}" xr6:coauthVersionLast="47" xr6:coauthVersionMax="47" xr10:uidLastSave="{00000000-0000-0000-0000-000000000000}"/>
  <bookViews>
    <workbookView xWindow="13620" yWindow="16080" windowWidth="29040" windowHeight="17520" tabRatio="839" xr2:uid="{00000000-000D-0000-FFFF-FFFF00000000}"/>
  </bookViews>
  <sheets>
    <sheet name="Demo1_REQ" sheetId="2" r:id="rId1"/>
    <sheet name="LIN_Stack_REQ_v2" sheetId="7" r:id="rId2"/>
    <sheet name="LIN_AUTOSAR_Trace" sheetId="4" r:id="rId3"/>
    <sheet name="LIN_Spec_Trace" sheetId="6" r:id="rId4"/>
    <sheet name="LIN_Architecture" sheetId="8" r:id="rId5"/>
    <sheet name="TRA_REQ" sheetId="1" r:id="rId6"/>
    <sheet name="LIN_Stack_REQ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D8" i="4"/>
  <c r="D7" i="4"/>
  <c r="C9" i="4"/>
  <c r="C8" i="4"/>
  <c r="C7" i="4"/>
  <c r="C6" i="4"/>
  <c r="C9" i="6" l="1"/>
  <c r="C8" i="6"/>
  <c r="C7" i="6"/>
  <c r="D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Nattiya Santipromwong</author>
  </authors>
  <commentList>
    <comment ref="I14" authorId="0" shapeId="0" xr:uid="{092D867A-B962-4436-8C88-52A8B9430C07}">
      <text>
        <r>
          <rPr>
            <b/>
            <sz val="9"/>
            <color indexed="81"/>
            <rFont val="Tahoma"/>
            <family val="2"/>
          </rPr>
          <t>Nattiya Santipromwong:</t>
        </r>
        <r>
          <rPr>
            <sz val="9"/>
            <color indexed="81"/>
            <rFont val="Tahoma"/>
            <family val="2"/>
          </rPr>
          <t xml:space="preserve">
Enable Brown-Out Reset (BOR).
The MCU shall automatically reset when VDD falls below the configured threshold.
The BOR threshold shall be configurable.</t>
        </r>
      </text>
    </comment>
    <comment ref="C22" authorId="0" shapeId="0" xr:uid="{264B67E4-76DF-452C-8E23-9249B7C15FDA}">
      <text>
        <r>
          <rPr>
            <b/>
            <sz val="9"/>
            <color indexed="81"/>
            <rFont val="Tahoma"/>
            <family val="2"/>
          </rPr>
          <t>Nattiya Santipromwong:</t>
        </r>
        <r>
          <rPr>
            <sz val="9"/>
            <color indexed="81"/>
            <rFont val="Tahoma"/>
            <family val="2"/>
          </rPr>
          <t xml:space="preserve">
Applied HW detection</t>
        </r>
      </text>
    </comment>
    <comment ref="I36" authorId="0" shapeId="0" xr:uid="{1408F62A-D90D-4261-BFC9-6EE1509E4283}">
      <text>
        <r>
          <rPr>
            <b/>
            <sz val="9"/>
            <color indexed="81"/>
            <rFont val="Tahoma"/>
            <family val="2"/>
          </rPr>
          <t>Nattiya Santipromwong:</t>
        </r>
        <r>
          <rPr>
            <sz val="9"/>
            <color indexed="81"/>
            <rFont val="Tahoma"/>
            <family val="2"/>
          </rPr>
          <t xml:space="preserve">
The software shall enter Deep Power-Down mode when a low-power condition is requested.
The software shall save all required persistent data before entering Deep Power-Down mode.
The device shall be capable of waking up from Deep Power-Down mode by a configured wake-up source (e.g. RTC or wake-up pin).
After wake-up from Deep Power-Down mode, the software shall execute the normal startup sequence.</t>
        </r>
      </text>
    </comment>
    <comment ref="C93" authorId="0" shapeId="0" xr:uid="{CF855A2D-0CE6-475D-A0FA-A8F5D81E45F5}">
      <text>
        <r>
          <rPr>
            <b/>
            <sz val="9"/>
            <color indexed="81"/>
            <rFont val="Tahoma"/>
            <family val="2"/>
          </rPr>
          <t>Nattiya Santipromwong:</t>
        </r>
        <r>
          <rPr>
            <sz val="9"/>
            <color indexed="81"/>
            <rFont val="Tahoma"/>
            <family val="2"/>
          </rPr>
          <t xml:space="preserve">
- No active communication
- No Flash/NVM write in progress
- No critical task running
- No pending interrupt/event
- Wake-up source configured
- Required data saved to NVM
- Power-down request is valid</t>
        </r>
      </text>
    </comment>
  </commentList>
</comments>
</file>

<file path=xl/sharedStrings.xml><?xml version="1.0" encoding="utf-8"?>
<sst xmlns="http://schemas.openxmlformats.org/spreadsheetml/2006/main" count="1636" uniqueCount="1058">
  <si>
    <t>■+Bオン</t>
    <phoneticPr fontId="1"/>
  </si>
  <si>
    <t>・スタックポインタ初期化</t>
    <rPh sb="9" eb="12">
      <t>ショキカ</t>
    </rPh>
    <phoneticPr fontId="1"/>
  </si>
  <si>
    <t>・汎用レジスタチェック</t>
    <rPh sb="1" eb="3">
      <t>ハンヨウ</t>
    </rPh>
    <phoneticPr fontId="1"/>
  </si>
  <si>
    <t>・ROMチェック</t>
    <phoneticPr fontId="1"/>
  </si>
  <si>
    <t>・WDの設定</t>
    <rPh sb="4" eb="6">
      <t>セッテイ</t>
    </rPh>
    <phoneticPr fontId="1"/>
  </si>
  <si>
    <t>・BORの設定</t>
    <rPh sb="5" eb="7">
      <t>セッテイ</t>
    </rPh>
    <phoneticPr fontId="1"/>
  </si>
  <si>
    <t>・レジスタ初期化</t>
    <rPh sb="5" eb="8">
      <t>ショキカ</t>
    </rPh>
    <phoneticPr fontId="1"/>
  </si>
  <si>
    <t>・割込みのマスク</t>
    <rPh sb="1" eb="3">
      <t>ワリコ</t>
    </rPh>
    <phoneticPr fontId="1"/>
  </si>
  <si>
    <t>・RAMチェック(スタックエリア)</t>
    <phoneticPr fontId="1"/>
  </si>
  <si>
    <t>・クロック切り替え</t>
    <rPh sb="5" eb="6">
      <t>キ</t>
    </rPh>
    <rPh sb="7" eb="8">
      <t>カ</t>
    </rPh>
    <phoneticPr fontId="1"/>
  </si>
  <si>
    <t>・クロック安定待ち</t>
    <rPh sb="5" eb="7">
      <t>アンテイ</t>
    </rPh>
    <rPh sb="7" eb="8">
      <t>マ</t>
    </rPh>
    <phoneticPr fontId="1"/>
  </si>
  <si>
    <t>・電圧測定</t>
    <rPh sb="1" eb="3">
      <t>デンアツ</t>
    </rPh>
    <rPh sb="3" eb="5">
      <t>ソクテイ</t>
    </rPh>
    <phoneticPr fontId="1"/>
  </si>
  <si>
    <t>・EEPROMデータ読出し</t>
    <rPh sb="10" eb="12">
      <t>ヨミダ</t>
    </rPh>
    <phoneticPr fontId="1"/>
  </si>
  <si>
    <t>■スリープ</t>
    <phoneticPr fontId="1"/>
  </si>
  <si>
    <t>・レジスタリフレッシュ</t>
    <phoneticPr fontId="1"/>
  </si>
  <si>
    <t>・低消費モード突入</t>
    <rPh sb="1" eb="4">
      <t>テイショウヒ</t>
    </rPh>
    <rPh sb="7" eb="9">
      <t>トツニュウ</t>
    </rPh>
    <phoneticPr fontId="1"/>
  </si>
  <si>
    <t>・メイン周期突入(xxms間隔)</t>
    <rPh sb="4" eb="6">
      <t>シュウキ</t>
    </rPh>
    <rPh sb="6" eb="8">
      <t>トツニュウ</t>
    </rPh>
    <rPh sb="13" eb="15">
      <t>カンカク</t>
    </rPh>
    <phoneticPr fontId="1"/>
  </si>
  <si>
    <t>■ウェイクアップ</t>
    <phoneticPr fontId="1"/>
  </si>
  <si>
    <t>・割込み設定</t>
    <rPh sb="1" eb="3">
      <t>ワリコ</t>
    </rPh>
    <rPh sb="4" eb="6">
      <t>セッテイ</t>
    </rPh>
    <phoneticPr fontId="1"/>
  </si>
  <si>
    <t>■割込み処理</t>
    <rPh sb="1" eb="3">
      <t>ワリコ</t>
    </rPh>
    <rPh sb="4" eb="6">
      <t>ショリ</t>
    </rPh>
    <phoneticPr fontId="1"/>
  </si>
  <si>
    <t>■データフラッシュ書込み/読出し</t>
    <rPh sb="9" eb="10">
      <t>カ</t>
    </rPh>
    <rPh sb="10" eb="11">
      <t>コ</t>
    </rPh>
    <rPh sb="13" eb="15">
      <t>ヨミダ</t>
    </rPh>
    <phoneticPr fontId="1"/>
  </si>
  <si>
    <t>・ベクタ処理</t>
    <rPh sb="4" eb="6">
      <t>ショリ</t>
    </rPh>
    <phoneticPr fontId="1"/>
  </si>
  <si>
    <t>・RAMチェック(スタックエリア以外)</t>
    <rPh sb="16" eb="18">
      <t>イガイ</t>
    </rPh>
    <phoneticPr fontId="1"/>
  </si>
  <si>
    <t>※東海理化コーディングルール第5版(MISRA-C 2012)に準拠する必要があります</t>
    <rPh sb="1" eb="3">
      <t>トウカイ</t>
    </rPh>
    <rPh sb="3" eb="5">
      <t>リカ</t>
    </rPh>
    <rPh sb="14" eb="15">
      <t>ダイ</t>
    </rPh>
    <rPh sb="16" eb="17">
      <t>ハン</t>
    </rPh>
    <rPh sb="32" eb="34">
      <t>ジュンキョ</t>
    </rPh>
    <rPh sb="36" eb="38">
      <t>ヒツヨウ</t>
    </rPh>
    <phoneticPr fontId="1"/>
  </si>
  <si>
    <t>メインフレーム(スタートアップ)のソフト要件</t>
    <rPh sb="20" eb="22">
      <t>ヨウケン</t>
    </rPh>
    <phoneticPr fontId="1"/>
  </si>
  <si>
    <t>+Bオン時のスタートアップ,スリープウェイクアップなど、下回りのソフト設計をお願いします。</t>
    <rPh sb="28" eb="30">
      <t>シタマワ</t>
    </rPh>
    <phoneticPr fontId="1"/>
  </si>
  <si>
    <t>要件は下記の通りです。抜けがあると思いますので、随時追加します。</t>
    <rPh sb="0" eb="2">
      <t>ヨウケン</t>
    </rPh>
    <rPh sb="3" eb="5">
      <t>カキ</t>
    </rPh>
    <rPh sb="6" eb="7">
      <t>トオ</t>
    </rPh>
    <rPh sb="11" eb="12">
      <t>ヌ</t>
    </rPh>
    <rPh sb="17" eb="18">
      <t>オモ</t>
    </rPh>
    <rPh sb="24" eb="26">
      <t>ズイジ</t>
    </rPh>
    <rPh sb="26" eb="28">
      <t>ツイカ</t>
    </rPh>
    <phoneticPr fontId="1"/>
  </si>
  <si>
    <t>■成果物</t>
    <rPh sb="1" eb="4">
      <t>セイカブツ</t>
    </rPh>
    <phoneticPr fontId="1"/>
  </si>
  <si>
    <t>・ソフトウェア設計書</t>
    <rPh sb="7" eb="10">
      <t>セッケイショ</t>
    </rPh>
    <phoneticPr fontId="1"/>
  </si>
  <si>
    <t>・SFR設定表</t>
    <rPh sb="4" eb="6">
      <t>セッテイ</t>
    </rPh>
    <rPh sb="6" eb="7">
      <t>ヒョウ</t>
    </rPh>
    <phoneticPr fontId="1"/>
  </si>
  <si>
    <t>・ソースコード</t>
    <phoneticPr fontId="1"/>
  </si>
  <si>
    <t>→全ての割込みをマスクします。</t>
    <rPh sb="1" eb="2">
      <t>スベ</t>
    </rPh>
    <rPh sb="4" eb="6">
      <t>ワリコ</t>
    </rPh>
    <phoneticPr fontId="1"/>
  </si>
  <si>
    <t>→32ms</t>
    <phoneticPr fontId="1"/>
  </si>
  <si>
    <t>→保証電圧内でかかる設定</t>
    <rPh sb="1" eb="3">
      <t>ホショウ</t>
    </rPh>
    <rPh sb="3" eb="5">
      <t>デンアツ</t>
    </rPh>
    <rPh sb="5" eb="6">
      <t>ナイ</t>
    </rPh>
    <rPh sb="10" eb="12">
      <t>セッテイ</t>
    </rPh>
    <phoneticPr fontId="1"/>
  </si>
  <si>
    <t>→外部クロックへの切り替え</t>
    <rPh sb="1" eb="3">
      <t>ガイブ</t>
    </rPh>
    <rPh sb="9" eb="10">
      <t>キ</t>
    </rPh>
    <rPh sb="11" eb="12">
      <t>カ</t>
    </rPh>
    <phoneticPr fontId="1"/>
  </si>
  <si>
    <t>→保証電圧内であるかのチェック、低電圧時はソフトリセット(暫定)</t>
    <rPh sb="1" eb="3">
      <t>ホショウ</t>
    </rPh>
    <rPh sb="3" eb="5">
      <t>デンアツ</t>
    </rPh>
    <rPh sb="5" eb="6">
      <t>ナイ</t>
    </rPh>
    <rPh sb="16" eb="19">
      <t>テイデンアツ</t>
    </rPh>
    <rPh sb="19" eb="20">
      <t>ジ</t>
    </rPh>
    <rPh sb="29" eb="31">
      <t>ザンテイ</t>
    </rPh>
    <phoneticPr fontId="1"/>
  </si>
  <si>
    <t>→全レジスタ初期化</t>
    <rPh sb="1" eb="2">
      <t>ゼン</t>
    </rPh>
    <rPh sb="6" eb="9">
      <t>ショキカ</t>
    </rPh>
    <phoneticPr fontId="1"/>
  </si>
  <si>
    <t>→一部のレジスタのみ(具体的なレジスタ、値は現状では示せません。</t>
    <rPh sb="1" eb="3">
      <t>イチブ</t>
    </rPh>
    <rPh sb="11" eb="14">
      <t>グタイテキ</t>
    </rPh>
    <rPh sb="20" eb="21">
      <t>アタイ</t>
    </rPh>
    <rPh sb="22" eb="24">
      <t>ゲンジョウ</t>
    </rPh>
    <rPh sb="26" eb="27">
      <t>シメ</t>
    </rPh>
    <phoneticPr fontId="1"/>
  </si>
  <si>
    <t>→DPD(ディープパワーダウン)</t>
    <phoneticPr fontId="1"/>
  </si>
  <si>
    <t>→現状ではポート割込みとSPIの割込みは使用予定です。</t>
    <rPh sb="1" eb="3">
      <t>ゲンジョウ</t>
    </rPh>
    <rPh sb="8" eb="10">
      <t>ワリコ</t>
    </rPh>
    <rPh sb="16" eb="18">
      <t>ワリコ</t>
    </rPh>
    <rPh sb="20" eb="22">
      <t>シヨウ</t>
    </rPh>
    <rPh sb="22" eb="24">
      <t>ヨテイ</t>
    </rPh>
    <phoneticPr fontId="1"/>
  </si>
  <si>
    <t>→ウェイクアップ(ポート割込み)の設定</t>
    <rPh sb="12" eb="14">
      <t>ワリコ</t>
    </rPh>
    <rPh sb="17" eb="19">
      <t>セッテイ</t>
    </rPh>
    <phoneticPr fontId="1"/>
  </si>
  <si>
    <t>→1ms(暫定)</t>
    <rPh sb="5" eb="7">
      <t>ザンテイ</t>
    </rPh>
    <phoneticPr fontId="1"/>
  </si>
  <si>
    <t>→スタックを使用するまでに実施して下さい。55h→AAh→FFh→00hを順番に書き込み、ベリファイ実施。ベリファイ失敗時はソフトリセット</t>
    <rPh sb="6" eb="8">
      <t>シヨウ</t>
    </rPh>
    <rPh sb="13" eb="15">
      <t>ジッシ</t>
    </rPh>
    <rPh sb="17" eb="18">
      <t>クダ</t>
    </rPh>
    <rPh sb="37" eb="39">
      <t>ジュンバン</t>
    </rPh>
    <rPh sb="40" eb="41">
      <t>カ</t>
    </rPh>
    <rPh sb="42" eb="43">
      <t>コ</t>
    </rPh>
    <rPh sb="50" eb="52">
      <t>ジッシ</t>
    </rPh>
    <rPh sb="58" eb="60">
      <t>シッパイ</t>
    </rPh>
    <rPh sb="60" eb="61">
      <t>ジ</t>
    </rPh>
    <phoneticPr fontId="1"/>
  </si>
  <si>
    <t>→55h→AAh→FFh→00hを順番に書き込み、ベリファイ実施。ベリファイ失敗時はソフトリセット</t>
    <phoneticPr fontId="1"/>
  </si>
  <si>
    <t>→ROM領域の値を全加算。オーバーフローは破棄し、合計がAAhとなるように調整値を設ける。調整値はソフト変更の度に変更が必要。合計がAAhとならないときはソフトリセット</t>
    <rPh sb="4" eb="6">
      <t>リョウイキ</t>
    </rPh>
    <rPh sb="7" eb="8">
      <t>アタイ</t>
    </rPh>
    <rPh sb="9" eb="10">
      <t>ゼン</t>
    </rPh>
    <rPh sb="10" eb="12">
      <t>カサン</t>
    </rPh>
    <rPh sb="21" eb="23">
      <t>ハキ</t>
    </rPh>
    <rPh sb="25" eb="27">
      <t>ゴウケイ</t>
    </rPh>
    <rPh sb="37" eb="39">
      <t>チョウセイ</t>
    </rPh>
    <rPh sb="39" eb="40">
      <t>チ</t>
    </rPh>
    <rPh sb="41" eb="42">
      <t>モウ</t>
    </rPh>
    <rPh sb="45" eb="47">
      <t>チョウセイ</t>
    </rPh>
    <rPh sb="47" eb="48">
      <t>チ</t>
    </rPh>
    <rPh sb="52" eb="54">
      <t>ヘンコウ</t>
    </rPh>
    <rPh sb="55" eb="56">
      <t>タビ</t>
    </rPh>
    <rPh sb="57" eb="59">
      <t>ヘンコウ</t>
    </rPh>
    <rPh sb="60" eb="62">
      <t>ヒツヨウ</t>
    </rPh>
    <rPh sb="63" eb="65">
      <t>ゴウケイ</t>
    </rPh>
    <phoneticPr fontId="1"/>
  </si>
  <si>
    <t>→全くの未定です。</t>
    <rPh sb="1" eb="2">
      <t>マッタ</t>
    </rPh>
    <rPh sb="4" eb="6">
      <t>ミテイ</t>
    </rPh>
    <phoneticPr fontId="1"/>
  </si>
  <si>
    <t>　ROMチェックと言いつつ、 ROM領域に記憶されたプログラムのチェックではありません。プログラムはFlash領域に記憶されるため、Flashを読み出してチェックすることになります。</t>
    <phoneticPr fontId="1"/>
  </si>
  <si>
    <t>→1ms×4回の4msで動作するメイン周期と、1ms毎に動作するメイン周期を用意して下さい。通常は4msで動作しますが、一時的に(例えばUWB通信中のみ)1msで動作させるようなことを考えています。</t>
    <rPh sb="6" eb="7">
      <t>カイ</t>
    </rPh>
    <rPh sb="12" eb="14">
      <t>ドウサ</t>
    </rPh>
    <rPh sb="19" eb="21">
      <t>シュウキ</t>
    </rPh>
    <rPh sb="26" eb="27">
      <t>ゴト</t>
    </rPh>
    <rPh sb="28" eb="30">
      <t>ドウサ</t>
    </rPh>
    <rPh sb="35" eb="37">
      <t>シュウキ</t>
    </rPh>
    <rPh sb="38" eb="40">
      <t>ヨウイ</t>
    </rPh>
    <rPh sb="42" eb="43">
      <t>クダ</t>
    </rPh>
    <rPh sb="46" eb="48">
      <t>ツウジョウ</t>
    </rPh>
    <rPh sb="53" eb="55">
      <t>ドウサ</t>
    </rPh>
    <rPh sb="60" eb="63">
      <t>イチジテキ</t>
    </rPh>
    <rPh sb="65" eb="66">
      <t>タト</t>
    </rPh>
    <rPh sb="71" eb="74">
      <t>ツウシンチュウ</t>
    </rPh>
    <rPh sb="81" eb="83">
      <t>ドウサ</t>
    </rPh>
    <rPh sb="92" eb="93">
      <t>カンガ</t>
    </rPh>
    <phoneticPr fontId="1"/>
  </si>
  <si>
    <t>Target board: PSoC™ 6 AI Evaluation Kit</t>
  </si>
  <si>
    <t>Modules covered: MF (Init / Normal / Sleep), Watchdog, Clock/Timer, GPIO</t>
  </si>
  <si>
    <t>■ MF – Initialization (Startup)</t>
  </si>
  <si>
    <t>· Initialize stack pointer</t>
  </si>
  <si>
    <t>· Mask all interrupts</t>
  </si>
  <si>
    <t>· Configure Watchdog Timer (WDT)</t>
  </si>
  <si>
    <t>· Configure Brown-Out Reset (BOR)</t>
  </si>
  <si>
    <t>· Check general-purpose registers</t>
  </si>
  <si>
    <t>· RAM check (stack area)</t>
  </si>
  <si>
    <t>· Switch to target clock source</t>
  </si>
  <si>
    <t>· Wait for clock to stabilize</t>
  </si>
  <si>
    <t>· RAM check (non-stack area)</t>
  </si>
  <si>
    <t>· Flash/ROM check (checksum)</t>
  </si>
  <si>
    <t>· Measure supply voltage</t>
  </si>
  <si>
    <t>· Read data from Flash (NVM)</t>
  </si>
  <si>
    <t>· Enter main cycle (periodic task)</t>
  </si>
  <si>
    <t>→ Set before any stack usage.</t>
  </si>
  <si>
    <t>→ Mask all interrupts during startup sequence.</t>
  </si>
  <si>
    <t>→ WDT timeout: TBD (e.g. 32 ms). Service WDT at each main cycle.</t>
  </si>
  <si>
    <t>→ Ensure supply voltage is within valid range.</t>
  </si>
  <si>
    <t>→ Write pattern 55h→AAh→FFh→00h, verify each step. Soft-reset on failure.</t>
  </si>
  <si>
    <t>→ Complete before first stack use. Write 55h→AAh→FFh→00h, verify. Soft-reset on failure.</t>
  </si>
  <si>
    <t>→ Write 55h→AAh→FFh→00h, verify. Soft-reset on failure.</t>
  </si>
  <si>
    <t>→ Sum all Flash bytes (discard overflow). Result must equal AAh. Adjust checksum byte each build. Soft-reset on mismatch.</t>
  </si>
  <si>
    <t>→ Check voltage is within spec. Soft-reset if under-voltage detected (TBD threshold).</t>
  </si>
  <si>
    <t>→ Read saved parameters from NVM/Flash before entering main loop.</t>
  </si>
  <si>
    <t>■ MF – Normal Operation</t>
  </si>
  <si>
    <t>· Execute main cycle task (4 ms / 1 ms)</t>
  </si>
  <si>
    <t>· Service Watchdog in each cycle</t>
  </si>
  <si>
    <t>· Refresh required registers</t>
  </si>
  <si>
    <t>→ Default 4 ms. Switch to 1 ms when needed.</t>
  </si>
  <si>
    <t>→ Specific registers TBD.</t>
  </si>
  <si>
    <t>■ MF – Sleep</t>
  </si>
  <si>
    <t>· Refresh required registers before sleep</t>
  </si>
  <si>
    <t>· Configure wakeup interrupt (port interrupt)</t>
  </si>
  <si>
    <t>· Enter Deep Power-Down (DPD) mode</t>
  </si>
  <si>
    <t>→ Specific registers and values TBD.</t>
  </si>
  <si>
    <t>→ Set port interrupt as the wakeup source.</t>
  </si>
  <si>
    <t>→ Use PSoC 6 Deep Power-Down (DPD) mode for lowest power consumption.</t>
  </si>
  <si>
    <t>■ MF – Wakeup</t>
  </si>
  <si>
    <t>· Refresh required registers after wakeup</t>
  </si>
  <si>
    <t>· Return to normal operation (main cycle)</t>
  </si>
  <si>
    <t>→ Resume 4 ms main cycle after wakeup.</t>
  </si>
  <si>
    <t>■ Watchdog (WDT)</t>
  </si>
  <si>
    <t>· Enable WDT during startup</t>
  </si>
  <si>
    <t>· Set WDT timeout period</t>
  </si>
  <si>
    <t>· Service (kick) WDT within each main cycle</t>
  </si>
  <si>
    <t>· Handle WDT reset event</t>
  </si>
  <si>
    <t>· Disable WDT only when required (e.g. Flash write)</t>
  </si>
  <si>
    <t>→ Enable WDT as early as possible in the startup sequence.</t>
  </si>
  <si>
    <t>→ WDT service call placed at a fixed point in the main cycle.</t>
  </si>
  <si>
    <t>→ On WDT reset, log the event to NVM if possible, then re-initialize.</t>
  </si>
  <si>
    <t>■ GPIO</t>
  </si>
  <si>
    <t>Software Requirements – LIN Stack</t>
  </si>
  <si>
    <t>Target board: AURIX™ TC275 Lite Kit</t>
  </si>
  <si>
    <t>Stack structure: 3 layers — Physical Layer | Data Link Layer | Application Layer</t>
  </si>
  <si>
    <t>Note: Requirements may be updated as the design progresses. TBD items must be confirmed before implementation.</t>
  </si>
  <si>
    <t>ID</t>
  </si>
  <si>
    <t>Layer</t>
  </si>
  <si>
    <t>Requirement</t>
  </si>
  <si>
    <t>Detail / Constraint</t>
  </si>
  <si>
    <t>Related Standard</t>
  </si>
  <si>
    <t>Status</t>
  </si>
  <si>
    <t>--- Layer 1: Physical Layer ---</t>
  </si>
  <si>
    <t>PH-01</t>
  </si>
  <si>
    <t>Physical</t>
  </si>
  <si>
    <t>Use single-wire LIN bus interface</t>
  </si>
  <si>
    <t>One wire (LIN) + GND. Bus voltage: 12 V nominal (8–18 V range). TC275 LIN transceiver (e.g. TLE7259) or on-chip LIN module.</t>
  </si>
  <si>
    <t>ISO 17987-3, LIN 2.2 §2.1</t>
  </si>
  <si>
    <t>TBD</t>
  </si>
  <si>
    <t>PH-02</t>
  </si>
  <si>
    <t>Support baud rates 1 – 20 kbps</t>
  </si>
  <si>
    <t>Standard range: 1 kbps to 20 kbps. Typical: 9.6 kbps or 19.2 kbps. Baud rate set per LDF/configuration.</t>
  </si>
  <si>
    <t>LIN 2.2 §2.2, ISO 17987-4</t>
  </si>
  <si>
    <t>PH-03</t>
  </si>
  <si>
    <t>Support Master and Slave node modes</t>
  </si>
  <si>
    <t>Stack must be configurable as Master node or Slave node at build time (or run-time TBD).</t>
  </si>
  <si>
    <t>LIN 2.2 §2.3, ISO 17987-4</t>
  </si>
  <si>
    <t>PH-04</t>
  </si>
  <si>
    <t>Generate and detect Break field</t>
  </si>
  <si>
    <t>Break: min 13 bits dominant (LIN 2.x) / min 11 bits (LIN 1.3). Break delimiter: min 1 bit recessive.</t>
  </si>
  <si>
    <t>LIN 2.2 §2.3.3, LIN 1.3 §2.2</t>
  </si>
  <si>
    <t>PH-05</t>
  </si>
  <si>
    <t>Detect bus wakeup pulse</t>
  </si>
  <si>
    <t>Wakeup pulse: 250 μs – 5 ms dominant. Node must wake up and respond within t_WU_delay.</t>
  </si>
  <si>
    <t>LIN 2.2 §4.2.3, ISO 17987-2</t>
  </si>
  <si>
    <t>PH-06</t>
  </si>
  <si>
    <t>Use TC275 on-chip ASCLIN module for LIN</t>
  </si>
  <si>
    <t>AURIX TC275 has ASCLIN (Asynchronous/Synchronous Interface). Configure in LIN mode. Use iLLD (Infineon Low-Level Drivers) or direct SFR access.</t>
  </si>
  <si>
    <t>TC275 Reference Manual</t>
  </si>
  <si>
    <t>--- Layer 2: Data Link Layer ---</t>
  </si>
  <si>
    <t>DL-01</t>
  </si>
  <si>
    <t>Data Link</t>
  </si>
  <si>
    <t>Build and parse LIN frame (Header + Response)</t>
  </si>
  <si>
    <t>Frame = Break + Sync + PID + Data (1–8 bytes) + Checksum. Master sends Header; Master or Slave sends Response.</t>
  </si>
  <si>
    <t>LIN 2.2 §2.3, ISO 17987-4 §6</t>
  </si>
  <si>
    <t>DL-02</t>
  </si>
  <si>
    <t>Calculate and verify checksum</t>
  </si>
  <si>
    <t>Classic checksum (LIN 1.3, LIN 2.x ID 60–61): sum of data bytes. Enhanced checksum (LIN 2.x): sum of PID + data bytes. Invert result.</t>
  </si>
  <si>
    <t>LIN 2.2 §2.3.5, LIN 1.3 §2.3.4</t>
  </si>
  <si>
    <t>DL-03</t>
  </si>
  <si>
    <t>Compute and verify Protected ID (PID)</t>
  </si>
  <si>
    <t>PID = Frame ID (6 bits) + Parity bits P0, P1. Stack must compute PID on TX and verify on RX.</t>
  </si>
  <si>
    <t>LIN 2.2 §2.3.2</t>
  </si>
  <si>
    <t>DL-04</t>
  </si>
  <si>
    <t>Manage inter-byte and inter-frame timing</t>
  </si>
  <si>
    <t>Inter-byte space: max 4 bit times. Response space: max 2 bit times. Frame slot (max): 10 ms at 9.6 kbps typical. Controlled by Master task schedule.</t>
  </si>
  <si>
    <t>LIN 2.2 §2.3.4, ISO 17987-4 §7</t>
  </si>
  <si>
    <t>DL-05</t>
  </si>
  <si>
    <t>Detect and report communication errors</t>
  </si>
  <si>
    <t>Errors: checksum error, framing error, parity error, bit error (TX monitoring), timeout (no response), sync field error.</t>
  </si>
  <si>
    <t>LIN 2.2 §2.7, ISO 17987-4 §9</t>
  </si>
  <si>
    <t>DL-06</t>
  </si>
  <si>
    <t>Support Master task schedule (schedule table)</t>
  </si>
  <si>
    <t>Master sends frames in fixed order defined by schedule table. Support at least one schedule table. Switch schedule at run-time (optional).</t>
  </si>
  <si>
    <t>LIN 2.2 §3.2</t>
  </si>
  <si>
    <t>DL-07</t>
  </si>
  <si>
    <t>Support Slave task (response on subscribed frames)</t>
  </si>
  <si>
    <t>Slave must publish response on frames it is assigned to (Publisher). Slave must receive and store data for subscribed frames (Subscriber).</t>
  </si>
  <si>
    <t>LIN 2.2 §3.1</t>
  </si>
  <si>
    <t>DL-08</t>
  </si>
  <si>
    <t>Support Sporadic Frames (Master only)</t>
  </si>
  <si>
    <t>Master sends sporadic frame only when associated signal has changed. Required for LIN 2.x.</t>
  </si>
  <si>
    <t>LIN 2.2 §3.2.1.3</t>
  </si>
  <si>
    <t>DL-09</t>
  </si>
  <si>
    <t>Support Event-Triggered Frames</t>
  </si>
  <si>
    <t>Master polls multiple Slaves with one frame ID. On collision, switch to collision-resolving schedule. Required for LIN 2.x.</t>
  </si>
  <si>
    <t>LIN 2.2 §3.2.1.4</t>
  </si>
  <si>
    <t>--- Layer 3: Application Layer (incl. Transport &amp; Diagnostics) ---</t>
  </si>
  <si>
    <t>AP-01</t>
  </si>
  <si>
    <t>Application</t>
  </si>
  <si>
    <t>Signal-based data access API</t>
  </si>
  <si>
    <t>Provide read/write API for each LIN signal defined in LDF. Signals mapped to frame bytes/bits automatically from LDF.</t>
  </si>
  <si>
    <t>LIN 2.2 §3.1, ISO 17987-1</t>
  </si>
  <si>
    <t>AP-02</t>
  </si>
  <si>
    <t>Load and use LIN Description File (LDF)</t>
  </si>
  <si>
    <t>LDF contains: nodes, signals, frames, schedule tables, encoding. Stack configuration generated from LDF at build time.</t>
  </si>
  <si>
    <t>LIN 2.2 §9, ISO 17987-5</t>
  </si>
  <si>
    <t>AP-03</t>
  </si>
  <si>
    <t>Node configuration: NAD assignment</t>
  </si>
  <si>
    <t>Each Slave has a Node Address for Diagnostics (NAD, 0x01–0x7E). Support AssignNAD and ConditionalChangeNAD services.</t>
  </si>
  <si>
    <t>LIN 2.2 §4.2.5, ISO 17987-2</t>
  </si>
  <si>
    <t>AP-04</t>
  </si>
  <si>
    <t>Node configuration: Frame ID assignment</t>
  </si>
  <si>
    <t>Support AssignFrameIdRange service to configure frame IDs in Slave nodes (LIN 2.x).</t>
  </si>
  <si>
    <t>LIN 2.2 §4.2.7</t>
  </si>
  <si>
    <t>AP-05</t>
  </si>
  <si>
    <t>Transport Layer (TP) – segmented message transfer</t>
  </si>
  <si>
    <t>Support multi-frame messages via TP PDUs (Single Frame / First Frame / Consecutive Frame / Flow Control) using IDs 0x3C (Master Req) and 0x3D (Slave Resp).</t>
  </si>
  <si>
    <t>LIN 2.2 §4.1, ISO 17987-2 §7</t>
  </si>
  <si>
    <t>AP-06</t>
  </si>
  <si>
    <t>Diagnostic Class I – Read and Clear DTC</t>
  </si>
  <si>
    <t>Implement LIN Diagnostic Class I: ReadDataByIdentifier (ID 0x22), ReadDTCInformation (ID 0x19), ClearDiagnosticInformation (ID 0x14).</t>
  </si>
  <si>
    <t>LIN 2.2 §4.2, ISO 17987-2 §8</t>
  </si>
  <si>
    <t>AP-07</t>
  </si>
  <si>
    <t>Diagnostic Class II – Node identification</t>
  </si>
  <si>
    <t>Support ReadDataByIdentifier for Supplier ID (0xF190), Function ID (0xF191), Variant ID (0xF192). Needed for node configuration.</t>
  </si>
  <si>
    <t>LIN 2.2 §4.2.2</t>
  </si>
  <si>
    <t>AP-08</t>
  </si>
  <si>
    <t>Sleep mode request via diagnostic frame (GoToSleep)</t>
  </si>
  <si>
    <t>Master sends GoToSleep command (ID 0x3C, data[0]=0x00). All nodes must enter sleep/low-power state. Bus remains recessive.</t>
  </si>
  <si>
    <t>LIN 2.2 §4.2.3</t>
  </si>
  <si>
    <t>AP-09</t>
  </si>
  <si>
    <t>Wakeup from sleep (network wakeup)</t>
  </si>
  <si>
    <t>Any node may send wakeup pulse. All nodes detect pulse and restart. Master must send WakeUp frame before resuming schedule.</t>
  </si>
  <si>
    <t>--- General / Cross-Layer Requirements ---</t>
  </si>
  <si>
    <t>GN-01</t>
  </si>
  <si>
    <t>General</t>
  </si>
  <si>
    <t>Standard version support matrix</t>
  </si>
  <si>
    <t>Full support: ISO 17987, LIN 2.2, LIN 2.1, LIN 2.0. Limited support: LIN 1.3 (classic checksum, no ETF/sporadic). Backward compatibility must be verified per feature.</t>
  </si>
  <si>
    <t>All</t>
  </si>
  <si>
    <t>GN-02</t>
  </si>
  <si>
    <t>Layered stack architecture (3 layers)</t>
  </si>
  <si>
    <t>Layer 1 (Physical): HW driver + ASCLIN config. Layer 2 (Data Link): frame build/parse, timing, error handling, schedule. Layer 3 (Application): signals, LDF, TP, diagnostics. Each layer has a defined API boundary.</t>
  </si>
  <si>
    <t>ISO 17987-1</t>
  </si>
  <si>
    <t>GN-03</t>
  </si>
  <si>
    <t>Error notification to application layer</t>
  </si>
  <si>
    <t>All errors detected in Layer 1 and Layer 2 must be reported up to Layer 3 via a status/callback interface. Application can read error flags per frame.</t>
  </si>
  <si>
    <t>LIN 2.2 §2.7</t>
  </si>
  <si>
    <t>GN-04</t>
  </si>
  <si>
    <t>Use iLLD (Infineon Low-Level Drivers) for HW access</t>
  </si>
  <si>
    <t>Layer 1 must use iLLD ASCLIN APIs (or equivalent). Direct SFR access only where iLLD does not support the required feature.</t>
  </si>
  <si>
    <t>GN-05</t>
  </si>
  <si>
    <t>Coding standard compliance</t>
  </si>
  <si>
    <t>Source code must comply with MISRA-C 2012. Static analysis tool TBD (e.g. PC-lint, Polyspace).</t>
  </si>
  <si>
    <t>MISRA-C 2012</t>
  </si>
  <si>
    <t>GN-06</t>
  </si>
  <si>
    <t>Configurable node count</t>
  </si>
  <si>
    <t>Maximum number of Slave nodes per cluster: TBD (LIN spec max = 16 Slaves). Configurable at build time.</t>
  </si>
  <si>
    <t>LIN 2.2 §2.1</t>
  </si>
  <si>
    <t>GN-07</t>
  </si>
  <si>
    <t>CPU load budget for LIN stack</t>
  </si>
  <si>
    <t>—</t>
  </si>
  <si>
    <t>DV-01</t>
  </si>
  <si>
    <t>Deliverable</t>
  </si>
  <si>
    <t>DV-02</t>
  </si>
  <si>
    <t>DV-03</t>
  </si>
  <si>
    <t>DV-04</t>
  </si>
  <si>
    <r>
      <t xml:space="preserve">LIN stack total CPU load: TBD (target </t>
    </r>
    <r>
      <rPr>
        <sz val="11"/>
        <color theme="1"/>
        <rFont val="Yu Gothic"/>
        <family val="2"/>
      </rPr>
      <t>≤</t>
    </r>
    <r>
      <rPr>
        <sz val="11"/>
        <color theme="1"/>
        <rFont val="Arial"/>
        <family val="2"/>
      </rPr>
      <t xml:space="preserve"> 5% at max baud rate and max frame rate). Measure on TC275 at target clock frequency.</t>
    </r>
  </si>
  <si>
    <t>Pipeline Step</t>
  </si>
  <si>
    <t>Output file / artifact</t>
  </si>
  <si>
    <t>Step 1 – Software Requirements doc</t>
  </si>
  <si>
    <t>requirements/Software_Requirements.md
Generated by /software-requirements skill. Covers REQ-F, REQ-NF, REQ-IF, REQ-C. Mapped to ASPICE SWE.1.</t>
  </si>
  <si>
    <t>ISO 17987, LIN 2.2, ASPICE SWE.1</t>
  </si>
  <si>
    <t>Step 2 – System Design document + architecture diagram</t>
  </si>
  <si>
    <t>design/system/System_Design.md
design/system/diagrams/*.drawio  (+ exported PNG)
Layer breakdown: Physical / Data Link / Application. Generated by /requirement-to-system-design skill.</t>
  </si>
  <si>
    <t>Step 3 – Basic Design documents (per module)</t>
  </si>
  <si>
    <t>design/system/Component_list.md
design/basic/{Layer}/{Module}/{Module}_Basic_Design.md
One file per module (e.g. LIN_PH, LIN_DL, LIN_TP, LIN_DIAG, LIN_APP). Generated by /system-design-to-basic-design skill.</t>
  </si>
  <si>
    <t>ISO 17987-1, LIN 2.2</t>
  </si>
  <si>
    <t>Step 4/4r – Design review logs + revised design</t>
  </si>
  <si>
    <t>review_log/system/review-logs/DesignReview_*.md
review_log/{Layer}/{Module}/review-logs/design/DesignReview_*.md
revise-logs/design/ (after rework). Generated by /design-review + /design-revise-from-review-log skills.</t>
  </si>
  <si>
    <t>DV-05</t>
  </si>
  <si>
    <t>Step 5 – Source code (all 3 layers)</t>
  </si>
  <si>
    <t>src/{Layer}/{Module}/{Module}.h
src/{Layer}/{Module}/{Module}.c
Layers: Physical (LIN_PH), Data Link (LIN_DL, LIN_SCH), Application (LIN_TP, LIN_DIAG, LIN_SIG). MISRA-C 2012. Generated by /basic-design-to-code skill.</t>
  </si>
  <si>
    <t>DV-06</t>
  </si>
  <si>
    <t>Step 6a/6b/6r – Code review + MISRA review logs + revised code</t>
  </si>
  <si>
    <t>review_log/{Layer}/{Module}/review-logs/code/CodeReview_*.md
review_log/{Layer}/{Module}/review-logs/code/MisraReview_*.md
revise-logs/code/ (after rework). Generated by /code-review, /review-misra, /code-revise-from-review-log skills.</t>
  </si>
  <si>
    <t>DV-07</t>
  </si>
  <si>
    <t>Step 7 – Basic Design document (.docx)</t>
  </si>
  <si>
    <t>{Module}_Basic_Design.docx
TNTEC template. Draw.io diagrams embedded. Generated by /basic-design-to-docx skill.</t>
  </si>
  <si>
    <t>DV-08</t>
  </si>
  <si>
    <t>Step 8 – Integration Test Specification</t>
  </si>
  <si>
    <t>design/Integration_Test_spec.md
Covers inter-layer interface tests, LIN bus communication tests, error injection tests. Generated by /basic-design-to-integration-test skill.</t>
  </si>
  <si>
    <t>ISO 17987, LIN 2.2</t>
  </si>
  <si>
    <t>DV-09</t>
  </si>
  <si>
    <t>Step 9 – Unit Test code</t>
  </si>
  <si>
    <t>test/unit/{Layer}/{Module}/test_{Module}.c
Framework: Unity + CMock + Ceedling. Coverage report (HTML). Generated by /unit-test skill.</t>
  </si>
  <si>
    <t>DV-10</t>
  </si>
  <si>
    <t>Step 10 – Test Review logs</t>
  </si>
  <si>
    <t>review_log/{Layer}/{Module}/review-logs/code/TestReview_*.md
Covers unit test + integration test review. Generated by /test-review skill.</t>
  </si>
  <si>
    <t>DV-11</t>
  </si>
  <si>
    <t>LDF file (LIN Description File) — standard artifact</t>
  </si>
  <si>
    <t>*.ldf
Defines: LIN_protocol_version, nodes (Master + Slaves), signals, frames, schedule_tables, encoding_types, node_attributes (supplier_id, function_id, variant). Required by LIN 2.2 §9 / ISO 17987-5.</t>
  </si>
  <si>
    <t>DV-12</t>
  </si>
  <si>
    <t>SFR / Register setting table (ASCLIN)</t>
  </si>
  <si>
    <t>SFR_Setting_LIN.xlsx / .md
All ASCLIN register names, offset, configured value, and reason. Covers: clock config, baud rate, break length, frame format, interrupt enable.</t>
  </si>
  <si>
    <t xml:space="preserve">  (Standard-mandated artifacts — not generated by AI pipeline)</t>
  </si>
  <si>
    <t>Deliverables List</t>
    <phoneticPr fontId="1"/>
  </si>
  <si>
    <t>ID</t>
    <phoneticPr fontId="1"/>
  </si>
  <si>
    <t>Standards: ISO 17987, LIN 2.2, LIN 2.1, LIN 2.0, LIN 1.3*  (* limited support, see notes)</t>
    <phoneticPr fontId="1"/>
  </si>
  <si>
    <t>Traceability Matrix: AUTOSAR SRS LIN → LIN_Stack_REQ</t>
  </si>
  <si>
    <t>Source: AUTOSAR_SRS_LIN.pdf (R21-11, Doc ID 42)  |  Target: LIN_Stack_REQ sheet</t>
  </si>
  <si>
    <t>Total AUTOSAR SRS items:</t>
  </si>
  <si>
    <t>Covered (mapped to ≥1 REQ):</t>
  </si>
  <si>
    <t>Not covered (gap):</t>
  </si>
  <si>
    <t>Partial coverage:</t>
  </si>
  <si>
    <t>AUTOSAR SRS ID</t>
  </si>
  <si>
    <t>AUTOSAR Requirement (short title)</t>
  </si>
  <si>
    <t>AUTOSAR Module</t>
  </si>
  <si>
    <t>Mapped LIN_Stack_REQ ID(s)</t>
  </si>
  <si>
    <t>Coverage</t>
  </si>
  <si>
    <t>Gap / Remark</t>
  </si>
  <si>
    <t>SRS_Lin_01576</t>
  </si>
  <si>
    <t>ISO 17987 specs shall be reused as far as possible</t>
  </si>
  <si>
    <t>LIN General</t>
  </si>
  <si>
    <t>GN-01, PH-01, PH-02</t>
  </si>
  <si>
    <t>Covered</t>
  </si>
  <si>
    <t>SRS_Lin_01504</t>
  </si>
  <si>
    <t>AUTOSAR architecture applicable for LIN master nodes</t>
  </si>
  <si>
    <t>Gap</t>
  </si>
  <si>
    <t>SRS_Lin_01598</t>
  </si>
  <si>
    <t>AUTOSAR architecture applicable for LIN slave nodes</t>
  </si>
  <si>
    <t>SRS_Lin_01594</t>
  </si>
  <si>
    <t>LIN slave shall support node configuration and identification services</t>
  </si>
  <si>
    <t>AP-03, AP-04, AP-07</t>
  </si>
  <si>
    <t>SRS_Lin_01590</t>
  </si>
  <si>
    <t>Node configuration of slaves only via schedule tables in master</t>
  </si>
  <si>
    <t>DL-06, AP-03, AP-04</t>
  </si>
  <si>
    <t>SRS_Lin_01522</t>
  </si>
  <si>
    <t>LIN-SDU shall be copied consistently for transfer</t>
  </si>
  <si>
    <t>DL-01, AP-01</t>
  </si>
  <si>
    <t>Partial</t>
  </si>
  <si>
    <t>SRS_Lin_01560</t>
  </si>
  <si>
    <r>
      <t xml:space="preserve">Wakeup during sleep transition </t>
    </r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return to running mode</t>
    </r>
  </si>
  <si>
    <t>AP-08, AP-09</t>
  </si>
  <si>
    <t>SRS_Lin_01577</t>
  </si>
  <si>
    <t>LIN Interface compatible to LIN protocol specification</t>
  </si>
  <si>
    <t>LIN Interface</t>
  </si>
  <si>
    <t>SRS_Lin_01551</t>
  </si>
  <si>
    <t>One LIN Interface shall support one or more LIN Drivers</t>
  </si>
  <si>
    <t>SRS_Lin_01568</t>
  </si>
  <si>
    <t>LIN Interface shall be independent from underlying LIN HW</t>
  </si>
  <si>
    <t>GN-02, PH-06</t>
  </si>
  <si>
    <t>SRS_Lin_01569</t>
  </si>
  <si>
    <t>LIN Interface shall support init of each LIN channel separately</t>
  </si>
  <si>
    <t>SRS_Lin_01570</t>
  </si>
  <si>
    <t>LIN Interface shall support dynamic selection of config sets</t>
  </si>
  <si>
    <t>SRS_Lin_01564</t>
  </si>
  <si>
    <t>Schedule Table Manager shall be available for LIN master nodes</t>
  </si>
  <si>
    <t>DL-06, DL-08, DL-09</t>
  </si>
  <si>
    <t>SRS_Lin_01546</t>
  </si>
  <si>
    <t>LIN Interface shall contain a Schedule Table Handler for master</t>
  </si>
  <si>
    <t>SRS_Lin_01561</t>
  </si>
  <si>
    <t>LIN Interface shall define a main function per channel</t>
  </si>
  <si>
    <t>SRS_Lin_01549</t>
  </si>
  <si>
    <t>LIN Interface needs timer service for scheduling (master)</t>
  </si>
  <si>
    <t>SRS_Lin_01571</t>
  </si>
  <si>
    <t>Transmission request service shall be provided</t>
  </si>
  <si>
    <t>SRS_Lin_01514</t>
  </si>
  <si>
    <t>LIN Interface shall inform upper layer about wake-up events</t>
  </si>
  <si>
    <t>AP-09, GN-03</t>
  </si>
  <si>
    <t>SRS_Lin_01515</t>
  </si>
  <si>
    <t>LIN Interface shall provide API to wake-up a LIN channel cluster</t>
  </si>
  <si>
    <t>AP-09, PH-05</t>
  </si>
  <si>
    <t>SRS_Lin_01502</t>
  </si>
  <si>
    <t>LIN Interface shall support API for RX/TX notifications</t>
  </si>
  <si>
    <t>SRS_Lin_01558</t>
  </si>
  <si>
    <t>LIN Interface shall check for successful data transfer (master)</t>
  </si>
  <si>
    <t>SRS_Lin_01595</t>
  </si>
  <si>
    <t>LIN Interface shall support setting/clearing response error signal (slave)</t>
  </si>
  <si>
    <t>SRS_Lin_01523</t>
  </si>
  <si>
    <t>API call to set the LIN bus to sleep-mode</t>
  </si>
  <si>
    <t>SRS_Lin_01596</t>
  </si>
  <si>
    <t>LIN Interface shall provide bus idle observation for slave nodes</t>
  </si>
  <si>
    <t>SRS_Lin_01578</t>
  </si>
  <si>
    <t>LIN Driver compatible to LIN Data Link Layer</t>
  </si>
  <si>
    <t>LIN Driver</t>
  </si>
  <si>
    <t>SRS_Lin_01553</t>
  </si>
  <si>
    <t>LIN Driver shall fulfill SPAL requirements for BSW modules</t>
  </si>
  <si>
    <t>SRS_Lin_01552</t>
  </si>
  <si>
    <t>LIN Driver shall offer HW-independent interface</t>
  </si>
  <si>
    <t>SRS_Lin_01503</t>
  </si>
  <si>
    <t>API to copy up to 8 bytes directly from/to frame buffers</t>
  </si>
  <si>
    <t>SRS_Lin_01555</t>
  </si>
  <si>
    <t>LIN Driver interface for TX/RX notifications</t>
  </si>
  <si>
    <t>SRS_Lin_01547</t>
  </si>
  <si>
    <t>LIN Driver shall support standard UART and LIN-optimized HW</t>
  </si>
  <si>
    <t>SRS_Lin_01572</t>
  </si>
  <si>
    <t>LIN Driver shall support init of each LIN channel separately</t>
  </si>
  <si>
    <t>SRS_Lin_01573</t>
  </si>
  <si>
    <t>LIN Driver shall support dynamic selection of configuration sets</t>
  </si>
  <si>
    <t>SRS_Lin_01563</t>
  </si>
  <si>
    <t>LIN Driver shall provide notification for wake-up events</t>
  </si>
  <si>
    <t>PH-05, GN-03</t>
  </si>
  <si>
    <t>SRS_Lin_01556</t>
  </si>
  <si>
    <t>One LIN Driver shall handle more than one LIN channel</t>
  </si>
  <si>
    <t>SRS_Lin_01566</t>
  </si>
  <si>
    <t>Transition to sleep-mode shall be handled</t>
  </si>
  <si>
    <t>SRS_Lin_01524</t>
  </si>
  <si>
    <t>LIN Driver shall put LIN HW to reduced power mode if needed</t>
  </si>
  <si>
    <t>SRS_Lin_01526</t>
  </si>
  <si>
    <t>LIN Driver shall provide status for error events on the bus</t>
  </si>
  <si>
    <t>DL-05, GN-03</t>
  </si>
  <si>
    <t>SRS_Lin_01580</t>
  </si>
  <si>
    <t>LIN Transceiver Driver: separate config params per bus</t>
  </si>
  <si>
    <t>LIN Transceiver Driver</t>
  </si>
  <si>
    <t>SRS_Lin_01581</t>
  </si>
  <si>
    <t>LIN Transceiver Driver: config for more than one channel</t>
  </si>
  <si>
    <t>SRS_Lin_01583</t>
  </si>
  <si>
    <t>LIN Transceiver Driver shall provide API for initialization</t>
  </si>
  <si>
    <t>SRS_Lin_01582</t>
  </si>
  <si>
    <t>Bus transceiver driver API shall be synchronous</t>
  </si>
  <si>
    <t>SRS_Lin_01584</t>
  </si>
  <si>
    <t>Transceiver driver API to send transceiver to Standby mode</t>
  </si>
  <si>
    <t>SRS_Lin_01585</t>
  </si>
  <si>
    <t>Transceiver driver API to send transceiver to Sleep mode</t>
  </si>
  <si>
    <t>SRS_Lin_01586</t>
  </si>
  <si>
    <t>Transceiver driver API to send transceiver to Normal mode</t>
  </si>
  <si>
    <t>SRS_Lin_01587</t>
  </si>
  <si>
    <t>LIN Transceiver Driver API to read current operation mode</t>
  </si>
  <si>
    <t>SRS_Lin_01588</t>
  </si>
  <si>
    <t>LIN Transceiver Driver API to read reason of last wakeup</t>
  </si>
  <si>
    <t>SRS_Lin_01589</t>
  </si>
  <si>
    <t>Transceiver driver: enable/disable wakeup notification per bus</t>
  </si>
  <si>
    <t>SRS_Lin_01593</t>
  </si>
  <si>
    <t>LIN TP timeout values shall be statically configurable per connection</t>
  </si>
  <si>
    <t>LIN Transport Layer</t>
  </si>
  <si>
    <t>SRS_Lin_01579</t>
  </si>
  <si>
    <t>AUTOSAR LIN TP shall be based on Diagnostic Transport Layer (ISO 17987)</t>
  </si>
  <si>
    <t>SRS_Lin_01540</t>
  </si>
  <si>
    <t>LIN TP shall provide API for initialization</t>
  </si>
  <si>
    <t>SRS_Lin_01545</t>
  </si>
  <si>
    <t>LIN TP services not operational before init</t>
  </si>
  <si>
    <t>SRS_Lin_01534</t>
  </si>
  <si>
    <t>AUTOSAR LIN TP shall support half-duplex physical connections</t>
  </si>
  <si>
    <t>PH-01, AP-05</t>
  </si>
  <si>
    <t>SRS_Lin_01592</t>
  </si>
  <si>
    <t>LIN TP shall support functional requests at any time (master)</t>
  </si>
  <si>
    <t>AP-05, AP-06</t>
  </si>
  <si>
    <t>SRS_Lin_01574</t>
  </si>
  <si>
    <t>Possible to have one TP instance per channel</t>
  </si>
  <si>
    <t>SRS_Lin_01539</t>
  </si>
  <si>
    <t>TP connection properties shall be statically configured</t>
  </si>
  <si>
    <t>AP-02, AP-05</t>
  </si>
  <si>
    <t>SRS_Lin_01591</t>
  </si>
  <si>
    <t>LIN Interface shall handle master node TX handler behavior</t>
  </si>
  <si>
    <t>DL-06, AP-05</t>
  </si>
  <si>
    <t>SRS_Lin_01597</t>
  </si>
  <si>
    <t>LIN Interface shall handle slave node TX handler behavior</t>
  </si>
  <si>
    <t>DL-07, AP-05</t>
  </si>
  <si>
    <t>Traceability Matrix: LIN 2.0 Specification → LIN_Stack_REQ</t>
  </si>
  <si>
    <t>Source: LIN Specification Package Rev 2.0 (Sep 2003)  —  6 sub-specs: Protocol, Physical Layer, Diagnostic &amp; Config, API, NCF, LDF</t>
  </si>
  <si>
    <t>Total LIN 2.0 spec items:</t>
  </si>
  <si>
    <t>Covered (≥1 REQ maps to it):</t>
  </si>
  <si>
    <t>Gap (not covered):</t>
  </si>
  <si>
    <t>LIN 2.0 Spec Item</t>
  </si>
  <si>
    <t>Sub-Spec / Section</t>
  </si>
  <si>
    <t>Normative Requirement (summary)</t>
  </si>
  <si>
    <t>PROTO-01</t>
  </si>
  <si>
    <t>Protocol §1 – Signal Mgmt</t>
  </si>
  <si>
    <t>Signal is scalar (1–16 bit) or byte array (1–8 bytes). One producer per signal; zero or more subscribers.</t>
  </si>
  <si>
    <t>PROTO-02</t>
  </si>
  <si>
    <t>Protocol §1.2 – Signal consistency</t>
  </si>
  <si>
    <t>Scalar signal read/write must be atomic (never partly updated).</t>
  </si>
  <si>
    <t>PROTO-03</t>
  </si>
  <si>
    <t>Protocol §1.3 – Signal packing</t>
  </si>
  <si>
    <t>Signal transmitted LSB first. Scalar signal may cross max one byte boundary. Byte array maps to frame bytes starting from lowest-numbered byte.</t>
  </si>
  <si>
    <t>AP-01, AP-02</t>
  </si>
  <si>
    <t>PROTO-04</t>
  </si>
  <si>
    <t>Protocol §2.1 – Frame structure</t>
  </si>
  <si>
    <r>
      <t xml:space="preserve">Frame = Break + Synch + Protected ID + Data (1–8 bytes) + Checksum. Inter-byte and inter-frame space </t>
    </r>
    <r>
      <rPr>
        <sz val="11"/>
        <color theme="1"/>
        <rFont val="Yu Gothic"/>
        <family val="2"/>
        <scheme val="minor"/>
      </rPr>
      <t>≥</t>
    </r>
    <r>
      <rPr>
        <sz val="11"/>
        <color theme="1"/>
        <rFont val="Yu Gothic"/>
        <family val="2"/>
        <scheme val="minor"/>
      </rPr>
      <t>0.</t>
    </r>
  </si>
  <si>
    <t>DL-01, DL-04</t>
  </si>
  <si>
    <t>PROTO-05</t>
  </si>
  <si>
    <t>Protocol §2.1.1 – Break field</t>
  </si>
  <si>
    <r>
      <t xml:space="preserve">Break </t>
    </r>
    <r>
      <rPr>
        <sz val="11"/>
        <color theme="1"/>
        <rFont val="Yu Gothic"/>
        <family val="2"/>
        <scheme val="minor"/>
      </rPr>
      <t>≥</t>
    </r>
    <r>
      <rPr>
        <sz val="11"/>
        <color theme="1"/>
        <rFont val="Yu Gothic"/>
        <family val="2"/>
        <scheme val="minor"/>
      </rPr>
      <t xml:space="preserve">13 dominant bits (master generates). Slave break-detect threshold = 11 bit times. Break delimiter </t>
    </r>
    <r>
      <rPr>
        <sz val="11"/>
        <color theme="1"/>
        <rFont val="Yu Gothic"/>
        <family val="2"/>
        <scheme val="minor"/>
      </rPr>
      <t>≥</t>
    </r>
    <r>
      <rPr>
        <sz val="11"/>
        <color theme="1"/>
        <rFont val="Yu Gothic"/>
        <family val="2"/>
        <scheme val="minor"/>
      </rPr>
      <t>1 bit recessive.</t>
    </r>
  </si>
  <si>
    <t>PROTO-06</t>
  </si>
  <si>
    <t>Protocol §2.1.2 – Synch byte</t>
  </si>
  <si>
    <t>Synch = 0x55. Slave must always detect Break+Synch, even if mid-frame; abort current frame and start new one.</t>
  </si>
  <si>
    <t>PROTO-07</t>
  </si>
  <si>
    <t>Protocol §2.1.3 – Protected Identifier</t>
  </si>
  <si>
    <r>
      <t>PID = 6-bit ID + parity P0/P1. P0=ID0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ID1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ID2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ID4, P1=¬(ID1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ID3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ID4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ID5). IDs 0–59 = signal frames; 60–61 = diagnostic; 62 = user; 63 = reserved.</t>
    </r>
  </si>
  <si>
    <t>PROTO-08</t>
  </si>
  <si>
    <t>Protocol §2.1.5 – Checksum</t>
  </si>
  <si>
    <t>Classic checksum (data only, inverted 8-bit sum with carry) for LIN 1.3 slaves. Enhanced checksum (PID + data) for LIN 2.x. IDs 0x3c–0x3f always use classic.</t>
  </si>
  <si>
    <t>PROTO-09</t>
  </si>
  <si>
    <t>Protocol §2.2 – Frame slots</t>
  </si>
  <si>
    <r>
      <t xml:space="preserve">Frame slot duration </t>
    </r>
    <r>
      <rPr>
        <sz val="11"/>
        <color theme="1"/>
        <rFont val="Yu Gothic"/>
        <family val="2"/>
        <scheme val="minor"/>
      </rPr>
      <t>≥</t>
    </r>
    <r>
      <rPr>
        <sz val="11"/>
        <color theme="1"/>
        <rFont val="Yu Gothic"/>
        <family val="2"/>
        <scheme val="minor"/>
      </rPr>
      <t xml:space="preserve"> T_Frame_Maximum (nominal + 40% overhead). All subscribers must handle zero-overhead frames (T_Frame_Nominal).</t>
    </r>
  </si>
  <si>
    <t>PROTO-10</t>
  </si>
  <si>
    <t>Protocol §2.3.1 – Unconditional frame</t>
  </si>
  <si>
    <t>Master sends header when slot due. Publisher always provides response. All subscribers receive and pass to application.</t>
  </si>
  <si>
    <t>DL-06, DL-07</t>
  </si>
  <si>
    <t>PROTO-11</t>
  </si>
  <si>
    <t>Protocol §2.3.2 – Event-Triggered frame</t>
  </si>
  <si>
    <t>Slave responds only when its signal updated. On collision, master resolves by running unconditional frames. All associated frames must be equal length + same checksum model.</t>
  </si>
  <si>
    <t>PROTO-12</t>
  </si>
  <si>
    <t>Protocol §2.3.3 – Sporadic frame</t>
  </si>
  <si>
    <t>Header only sent when master knows a carried signal has been updated. Most-prioritized updated sporadic frame sent if multiple share same slot.</t>
  </si>
  <si>
    <t>PROTO-13</t>
  </si>
  <si>
    <t>Protocol §2.3.4 – Diagnostic frames</t>
  </si>
  <si>
    <t>IDs 0x3C (master request) and 0x3D (slave response). Always 8 data bytes. Classic checksum. Master queries diag module before sending.</t>
  </si>
  <si>
    <t>AP-05, AP-06, AP-07</t>
  </si>
  <si>
    <t>PROTO-14</t>
  </si>
  <si>
    <t>Protocol §3 – Schedule table</t>
  </si>
  <si>
    <t>All transfers initiated by master. Schedule table guarantees bus never overloaded. Unconditional frame for sporadic/ETF must not share same schedule table.</t>
  </si>
  <si>
    <t>PROTO-15</t>
  </si>
  <si>
    <t>Protocol §4.1 – Master task state machine</t>
  </si>
  <si>
    <r>
      <t xml:space="preserve">Master task: wait </t>
    </r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send Break </t>
    </r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send Synch </t>
    </r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send PID. Manages correct timing per schedule. Error monitoring in master task not required.</t>
    </r>
  </si>
  <si>
    <t>PROTO-16</t>
  </si>
  <si>
    <t>Protocol §4.2 – Slave task state machine</t>
  </si>
  <si>
    <t>Slave: Break+Synch detector + Frame processor (Dormant/Active states). Abort frame on new Break+Synch. Readback mismatch aborts TX. Checksum verified on RX.</t>
  </si>
  <si>
    <t>DL-01, DL-02, DL-03, DL-05</t>
  </si>
  <si>
    <t>PROTO-17</t>
  </si>
  <si>
    <t>Protocol §5.1 – Wakeup</t>
  </si>
  <si>
    <t>Any node may send wakeup: 250 μs–5 ms dominant. Slave detects &gt;150 μs pulse, ready within 100 ms. Master sends headers within 150 ms or node retries (max 3 times, then wait 1.5 s).</t>
  </si>
  <si>
    <t>PH-05, AP-09</t>
  </si>
  <si>
    <t>PROTO-18</t>
  </si>
  <si>
    <t>Protocol §5.2 – GoToSleep</t>
  </si>
  <si>
    <t>Master sends 0x3C frame, data[0]=0x00. Slaves enter sleep. Slaves also auto-sleep after 4 s bus inactivity.</t>
  </si>
  <si>
    <t>PROTO-19</t>
  </si>
  <si>
    <t>Protocol §6 – Status Management</t>
  </si>
  <si>
    <t>Each slave transmits Response_Error bit in one of its frames. Set on any response error; cleared after transmission. error_in_response and successful_transfer bits for own-node status.</t>
  </si>
  <si>
    <t>PHYS-01</t>
  </si>
  <si>
    <t>Physical Layer §1 – Oscillator</t>
  </si>
  <si>
    <r>
      <t xml:space="preserve">Master clock tolerance 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 xml:space="preserve">±0.5%. Slave (without sync) 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 xml:space="preserve">±1.5%. Slave (unsynced) 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 xml:space="preserve">±14%. Bit-rate difference between nodes 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>±2%.</t>
    </r>
  </si>
  <si>
    <t>PHYS-02</t>
  </si>
  <si>
    <t>Physical Layer §2.2 – Synch procedure</t>
  </si>
  <si>
    <t>Slave measures falling edges of SYNCH byte (0x55) to calibrate bit time. Divide 8-bit span by 8.</t>
  </si>
  <si>
    <t>PHYS-03</t>
  </si>
  <si>
    <t>Physical Layer §3 – Line Driver/Receiver</t>
  </si>
  <si>
    <t>Single-wire bus based on ISO 9141. VBAT supply (8–18 V). Recessive = high voltage (~VBAT), dominant = low (~GND). Diode mandatory to prevent bus powering ECU.</t>
  </si>
  <si>
    <t>PH-01, PH-06</t>
  </si>
  <si>
    <t>DIAG-01</t>
  </si>
  <si>
    <t>Diag &amp; Config §2 – Node config (mandatory)</t>
  </si>
  <si>
    <t>Node configuration is mandatory for all LIN nodes. Slave has Initial NAD, LIN Product ID (Supplier ID + Function ID + Variant ID), frame message IDs in ROM.</t>
  </si>
  <si>
    <t>DIAG-02</t>
  </si>
  <si>
    <t>Diag &amp; Config §2.5.1 – Assign Frame ID (mandatory)</t>
  </si>
  <si>
    <r>
      <t xml:space="preserve">AssignFrameId (SID=0xB1): master sends NAD + Supplier ID + Message ID </t>
    </r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slave assigns protected ID to frame.</t>
    </r>
  </si>
  <si>
    <t>DIAG-03</t>
  </si>
  <si>
    <t>Diag &amp; Config §2.5.2 – Read by Identifier (mandatory)</t>
  </si>
  <si>
    <t>ReadByIdentifier (SID=0xB2): Identifier 0 (LIN Product ID) is mandatory. Serial number (ID=1) and message IDs optional.</t>
  </si>
  <si>
    <t>DIAG-04</t>
  </si>
  <si>
    <t>Diag &amp; Config §2.6 – Optional requests (AssignNAD, ConditionalChangeNAD)</t>
  </si>
  <si>
    <t>AssignNAD (SID=0xB0) and ConditionalChangeNAD (SID=0xB3) are optional. Resolve conflicting NADs.</t>
  </si>
  <si>
    <t>DIAG-05</t>
  </si>
  <si>
    <t>Diag &amp; Config §3.3 – Transport Layer (optional)</t>
  </si>
  <si>
    <t>Multi-PDU transport: Single Frame (SF), First Frame (FF), Continuation Frame (CF). Max message = 4095 bytes. No flow control in LIN TP.</t>
  </si>
  <si>
    <t>DIAG-06</t>
  </si>
  <si>
    <t>Diag &amp; Config §3.3.3 – ISO timing constraints</t>
  </si>
  <si>
    <t>TP timing: N_As, N_Bs, N_Cs, N_Cr timeouts. Values from ISO 15765 (P2 timing). Master/slave must abort on timeout.</t>
  </si>
  <si>
    <t>API-01</t>
  </si>
  <si>
    <t>API Spec §2.1 – l_sys_init</t>
  </si>
  <si>
    <t>l_sys_init() must be first call before any other LIN API function. Returns 0 on success.</t>
  </si>
  <si>
    <t>API-02</t>
  </si>
  <si>
    <t>API Spec §2.2 – Signal read/write (l_bool_rd/wr, l_u8_rd/wr, l_u16_rd/wr, l_bytes_rd/wr)</t>
  </si>
  <si>
    <t>Standard C API for signal access: scalar (bool/u8/u16) and byte array. Generated from LDF at build time.</t>
  </si>
  <si>
    <t>API-03</t>
  </si>
  <si>
    <t>API Spec §2.3 – Notification flags (l_flg_tst, l_flg_clr)</t>
  </si>
  <si>
    <t>Per-signal/frame update flags. l_flg_tst() = check if flag set. l_flg_clr() = clear flag. Flag set when frame updated by LIN module.</t>
  </si>
  <si>
    <t>API-04</t>
  </si>
  <si>
    <t>API Spec §2.4 – Schedule management (l_sch_tick, l_sch_set)</t>
  </si>
  <si>
    <t>l_sch_tick() advances schedule, initiates frame TX when due, updates RX signal values. l_sch_set() switches active schedule. Master only.</t>
  </si>
  <si>
    <t>API-05</t>
  </si>
  <si>
    <t>API Spec §2.5 – Interface management (l_ifc_init/connect/goto_sleep/wake_up/read_status)</t>
  </si>
  <si>
    <t>l_ifc_init = init controller + set baud rate. l_ifc_goto_sleep = send sleep cmd. l_ifc_wake_up = send wakeup pulse. l_ifc_read_status = return 16-bit status word (error/success/overrun/PID).</t>
  </si>
  <si>
    <t>API-06</t>
  </si>
  <si>
    <t>API Spec §2.6 – IRQ disable/restore call-outs (l_sys_irq_disable / l_sys_irq_restore)</t>
  </si>
  <si>
    <t>Application must provide l_sys_irq_disable() and l_sys_irq_restore() for critical sections inside LIN core.</t>
  </si>
  <si>
    <t>Software Requirements – LIN Stack (v2 – Gap-filled from LIN 2.0 Spec Traceability)</t>
  </si>
  <si>
    <t>Standards: ISO 17987, LIN 2.2, LIN 2.1, LIN 2.0, LIN 1.3* (* limited support, see notes)</t>
  </si>
  <si>
    <t>Note: New REQs marked [NEW] fill gaps identified by LIN_Spec_Trace traceability analysis (gaps: PROTO-02, PROTO-13_partial, DIAG-06, API-06; partials: PROTO-06, PROTO-09, PROTO-14~16, PROTO-18~19, PHYS-01~03, API-03~05).</t>
  </si>
  <si>
    <t>New/Existing</t>
  </si>
  <si>
    <t>Traces LIN_Spec_Trace</t>
  </si>
  <si>
    <t>ISO 17987-3, LIN 2.0 §3.1</t>
  </si>
  <si>
    <t>Existing</t>
  </si>
  <si>
    <t>LIN 2.0 §2.2, ISO 17987-4</t>
  </si>
  <si>
    <t>LIN 2.0 §2.3, ISO 17987-4</t>
  </si>
  <si>
    <t>Break: min 13 bits dominant (LIN 2.x master TX) / detection threshold 11 bits (slave RX). Break delimiter: min 1 bit recessive.</t>
  </si>
  <si>
    <t>LIN 2.0 Protocol §2.1.1</t>
  </si>
  <si>
    <t>Wakeup pulse: 250 μs – 5 ms dominant. Slave detects pulse &gt;150 μs and must be ready to respond within 100 ms. Master must send frame headers within 150 ms of wakeup.</t>
  </si>
  <si>
    <t>LIN 2.0 Protocol §5.1</t>
  </si>
  <si>
    <t>Configure ASCLIN in LIN mode. Use iLLD (Infineon Low-Level Drivers) or direct SFR access. Refer to TC275 RM chapter for ASCLIN register settings.</t>
  </si>
  <si>
    <t>PHYS-03, API-01</t>
  </si>
  <si>
    <t>PH-07</t>
  </si>
  <si>
    <t>[NEW] Clock tolerance per node type</t>
  </si>
  <si>
    <r>
      <t xml:space="preserve">Master node clock tolerance: 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 xml:space="preserve">±0.5% of nominal bit rate. Slave node (after synch field calibration): 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 xml:space="preserve">±1.5%. Slave node before sync (unsynced): 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 xml:space="preserve">±14%. Bit-rate deviation between any two nodes: 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>±2%.</t>
    </r>
  </si>
  <si>
    <t>LIN 2.0 Physical Layer §1 (Table 1.1: F_TOL_RES_MASTER, F_TOL_RES_SLAVE, F_TOL_UNSYNCH)</t>
  </si>
  <si>
    <t>NEW</t>
  </si>
  <si>
    <t>PH-08</t>
  </si>
  <si>
    <t>[NEW] Baud-rate auto-calibration from Synch field</t>
  </si>
  <si>
    <t>Slave must measure falling edges of Synch byte (0x55) to calibrate bit time each frame. Calibrated bit time T_bit = (time between start-bit and bit-7 falling edges) / 8. Required for slave nodes without external crystal (RC oscillator).</t>
  </si>
  <si>
    <t>LIN 2.0 Physical Layer §2.2 (Synchronization Procedure)</t>
  </si>
  <si>
    <r>
      <t xml:space="preserve">Frame = Break + Sync + PID + Data (1–8 bytes) + Checksum. Master sends Header; Master or Slave sends Response. Inter-byte space and inter-frame space must be </t>
    </r>
    <r>
      <rPr>
        <sz val="11"/>
        <color theme="1"/>
        <rFont val="Yu Gothic"/>
        <family val="2"/>
        <scheme val="minor"/>
      </rPr>
      <t>≥</t>
    </r>
    <r>
      <rPr>
        <sz val="11"/>
        <color theme="1"/>
        <rFont val="Yu Gothic"/>
        <family val="2"/>
        <scheme val="minor"/>
      </rPr>
      <t>0.</t>
    </r>
  </si>
  <si>
    <t>LIN 2.0 Protocol §2.1, ISO 17987-4 §6</t>
  </si>
  <si>
    <t>Calculate and verify checksum (classic and enhanced)</t>
  </si>
  <si>
    <t>Classic checksum (LIN 1.3, IDs 0x3C–0x3F): inverted 8-bit sum with carry over data bytes only. Enhanced checksum (LIN 2.x, IDs 0x00–0x3B): sum of PID + data bytes, inverted. Selection is per frame identifier.</t>
  </si>
  <si>
    <t>LIN 2.0 Protocol §2.1.5</t>
  </si>
  <si>
    <r>
      <t>PID = ID[5:0] + P0 + P1. P0 = ID0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ID1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ID2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ID4. P1 = ¬(ID1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ID3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ID4</t>
    </r>
    <r>
      <rPr>
        <sz val="11"/>
        <color theme="1"/>
        <rFont val="Yu Gothic"/>
        <family val="2"/>
        <scheme val="minor"/>
      </rPr>
      <t>⊕</t>
    </r>
    <r>
      <rPr>
        <sz val="11"/>
        <color theme="1"/>
        <rFont val="Yu Gothic"/>
        <family val="2"/>
        <scheme val="minor"/>
      </rPr>
      <t>ID5). IDs 0–59: signal frames. IDs 60–61: diagnostic. 62: user-defined. 63: reserved (do not use).</t>
    </r>
  </si>
  <si>
    <t>LIN 2.0 Protocol §2.1.3</t>
  </si>
  <si>
    <r>
      <t xml:space="preserve">Inter-byte space: max 4 bit times. Response space: max 2 bit times. Frame slot duration must be </t>
    </r>
    <r>
      <rPr>
        <sz val="11"/>
        <color theme="1"/>
        <rFont val="Yu Gothic"/>
        <family val="2"/>
        <scheme val="minor"/>
      </rPr>
      <t>≥</t>
    </r>
    <r>
      <rPr>
        <sz val="11"/>
        <color theme="1"/>
        <rFont val="Yu Gothic"/>
        <family val="2"/>
        <scheme val="minor"/>
      </rPr>
      <t xml:space="preserve"> T_Frame_Maximum = 1.4 × T_Frame_Nominal (40% overhead). All subscribers must handle zero-overhead frames (T_Frame_Nominal).</t>
    </r>
  </si>
  <si>
    <t>LIN 2.0 Protocol §2.2 (Eq. 6–8)</t>
  </si>
  <si>
    <t>Existing+</t>
  </si>
  <si>
    <t>Errors to detect: checksum error, framing error, parity error, bit error (TX readback), timeout (no response), sync field error. Abort TX on readback mismatch within same byte field.</t>
  </si>
  <si>
    <t>LIN 2.0 Protocol §4.2.2, ISO 17987-4 §9</t>
  </si>
  <si>
    <r>
      <t xml:space="preserve">Master sends frames in fixed order defined by schedule table. Must support </t>
    </r>
    <r>
      <rPr>
        <sz val="11"/>
        <color theme="1"/>
        <rFont val="Yu Gothic"/>
        <family val="2"/>
        <scheme val="minor"/>
      </rPr>
      <t>≥</t>
    </r>
    <r>
      <rPr>
        <sz val="11"/>
        <color theme="1"/>
        <rFont val="Yu Gothic"/>
        <family val="2"/>
        <scheme val="minor"/>
      </rPr>
      <t>1 schedule table. Unconditional frame associated with a sporadic/ETF must NOT share the same schedule table as its sporadic/ETF counterpart.</t>
    </r>
  </si>
  <si>
    <t>LIN 2.0 Protocol §3.1</t>
  </si>
  <si>
    <t>Support Slave task – publisher and subscriber roles</t>
  </si>
  <si>
    <t>Slave publishes response when it owns the frame ID. Slave receives and stores data when subscribing. Slave always provides response for unconditional frames it publishes. Break+Synch detection must abort current frame and start new frame immediately.</t>
  </si>
  <si>
    <t>LIN 2.0 Protocol §4.2, §2.1.2</t>
  </si>
  <si>
    <t>PROTO-06, PROTO-16</t>
  </si>
  <si>
    <t>Master sends sporadic frame only when associated signal has changed. If multiple sporadic frames share one slot, transmit the highest-priority frame that has an updated signal. If no signal updated, slot is silent.</t>
  </si>
  <si>
    <t>LIN 2.0 Protocol §2.3.3</t>
  </si>
  <si>
    <t>Master polls multiple slaves with one ETF ID. Slave responds only when its associated signal updated. On collision, master must resolve by transmitting all associated unconditional frames before re-polling ETF. All associated unconditional frames must be same length and checksum model.</t>
  </si>
  <si>
    <t>LIN 2.0 Protocol §2.3.2</t>
  </si>
  <si>
    <t>DL-10</t>
  </si>
  <si>
    <t>[NEW] Response_Error signal reporting (Slave)</t>
  </si>
  <si>
    <t>Each slave node must include a 1-bit Response_Error signal in at least one of its published frames. Response_Error shall be set whenever a frame received or transmitted by the slave contains an error in the response field. It shall be cleared automatically after transmission. Response_Error must not be placed in an Event-Triggered Frame.</t>
  </si>
  <si>
    <t>LIN 2.0 Protocol §6.3</t>
  </si>
  <si>
    <t>DL-11</t>
  </si>
  <si>
    <t>[NEW] Node-internal status bits: error_in_response and successful_transfer</t>
  </si>
  <si>
    <t>The stack must maintain two internal status bits per interface: error_in_response (set on any response-field error, same condition as Response_Error signal) and successful_transfer (set when frame fully received or transmitted without error). Both bits are cleared after read. These map to bits in l_ifc_read_status() return value.</t>
  </si>
  <si>
    <t>LIN 2.0 Protocol §6.4; LIN 2.0 API §2.5.10 (Table 2.1)</t>
  </si>
  <si>
    <t>PROTO-19, API-05</t>
  </si>
  <si>
    <t>DL-12</t>
  </si>
  <si>
    <t>[NEW] Signal atomicity – atomic read/write of signal buffers</t>
  </si>
  <si>
    <t>Scalar signal read and write operations must be atomic (interrupt-safe). The application must never see a signal value that is only partly updated. Implementation: disable LIN interrupt (or use critical section) around signal buffer copy. Byte arrays have no cross-byte consistency guarantee.</t>
  </si>
  <si>
    <t>LIN 2.0 Protocol §1.2</t>
  </si>
  <si>
    <t>Provide read/write API per LIN signal defined in LDF: l_bool_rd/wr, l_u8_rd/wr, l_u16_rd/wr, l_bytes_rd/wr. Signal mapped to frame byte/bit positions from LDF at build time.</t>
  </si>
  <si>
    <t>LIN 2.0 API §2.2</t>
  </si>
  <si>
    <t>PROTO-01, API-02</t>
  </si>
  <si>
    <t>LDF contains: nodes, signals, frames, schedule tables, encoding types. Stack configuration (signal access code + frame tables) generated from LDF at build time by LDF tool.</t>
  </si>
  <si>
    <t>LIN 2.0 Config Language Spec §2</t>
  </si>
  <si>
    <t>Each slave has Initial NAD (0x01–0x7E). Support AssignNAD (SID 0xB0) and ConditionalChangeNAD (SID 0xB3) services. NAD 0x7F = broadcast; 0x00 = reserved for GoToSleep.</t>
  </si>
  <si>
    <t>LIN 2.0 Diag §2.6.1, §2.6.2</t>
  </si>
  <si>
    <t>Support mandatory AssignFrameId (SID 0xB1) service. Master sends NAD + Supplier ID + Message ID; slave assigns protected ID to frame. Response is optional.</t>
  </si>
  <si>
    <t>LIN 2.0 Diag §2.5.1</t>
  </si>
  <si>
    <t>Support multi-frame messages via TP PDUs: Single Frame (SF), First Frame (FF), Continuation Frame (CF). IDs 0x3C (Master Request) and 0x3D (Slave Response). Max message length: 4095 bytes. No flow control in LIN TP.</t>
  </si>
  <si>
    <t>LIN 2.0 Diag §3.3; API §4</t>
  </si>
  <si>
    <t>Implement LIN Diagnostic Class I: ReadDataByIdentifier (ID 0x22), ReadDTCInformation (ID 0x19), ClearDiagnosticInformation (ID 0x14). Optional per LIN 2.0 spec but required for this project.</t>
  </si>
  <si>
    <t>LIN 2.0 Diag §3</t>
  </si>
  <si>
    <t>Diagnostic: Node identification (ReadByIdentifier)</t>
  </si>
  <si>
    <t>Support mandatory ReadByIdentifier (SID 0xB2), Identifier 0 (LIN Product ID). Response contains: Supplier ID (2 bytes) + Function ID (2 bytes) + Variant ID (1 byte). Serial number (ID=1) and message IDs (ID=16+) are optional.</t>
  </si>
  <si>
    <t>LIN 2.0 Diag §2.4, §2.5.2</t>
  </si>
  <si>
    <t>Sleep mode request via GoToSleep command</t>
  </si>
  <si>
    <t>Master sends GoToSleep (ID 0x3C, data[0]=0x00). All slave nodes must enter sleep/low-power state. Slave nodes must also auto-enter sleep if LIN bus is inactive for &gt;4 seconds.</t>
  </si>
  <si>
    <t>LIN 2.0 Protocol §5.2</t>
  </si>
  <si>
    <r>
      <t xml:space="preserve">Any node may send wakeup pulse (250 μs–5 ms dominant). Master must send frame headers within 150 ms. If no headers: requesting node may retry up to 3 times (150 ms apart). After 3 failed retries: wait </t>
    </r>
    <r>
      <rPr>
        <sz val="11"/>
        <color theme="1"/>
        <rFont val="Yu Gothic"/>
        <family val="2"/>
        <scheme val="minor"/>
      </rPr>
      <t>≥</t>
    </r>
    <r>
      <rPr>
        <sz val="11"/>
        <color theme="1"/>
        <rFont val="Yu Gothic"/>
        <family val="2"/>
        <scheme val="minor"/>
      </rPr>
      <t>1.5 s before next attempt.</t>
    </r>
  </si>
  <si>
    <t>AP-10</t>
  </si>
  <si>
    <t>[NEW] Per-signal update notification flags (l_flg_tst / l_flg_clr)</t>
  </si>
  <si>
    <t>Stack must maintain one update flag per signal (and optionally per frame). l_flg_tst(fff) returns non-zero if the signal/frame was updated since last cleared. l_flg_clr(fff) clears the flag to zero. Flags are set by the LIN module when a frame is received/transmitted.</t>
  </si>
  <si>
    <t>LIN 2.0 API §2.3</t>
  </si>
  <si>
    <t>AP-11</t>
  </si>
  <si>
    <t>[NEW] Schedule switching at runtime (l_sch_set / l_sch_tick)</t>
  </si>
  <si>
    <t>Master must support run-time schedule switching via l_sch_set(iii, schedule, entry). l_sch_tick(iii) must advance schedule, initiate frame TX when due, and update RX signal values from last received frame. Schedule switch takes effect at the next l_sch_tick call after current slot completes.</t>
  </si>
  <si>
    <t>LIN 2.0 API §2.4</t>
  </si>
  <si>
    <t>API-04, PROTO-15</t>
  </si>
  <si>
    <t>AP-12</t>
  </si>
  <si>
    <t>[NEW] Interface status read API – l_ifc_read_status() 16-bit status word</t>
  </si>
  <si>
    <t>l_ifc_read_status() returns a 16-bit word: bit 0 = error_in_response, bit 1 = successful_transfer, bit 2 = overrun (2+ frames since last call), bits 4–9 = last frame protected ID, bit 15 = goto_sleep flag. All bits cleared after read.</t>
  </si>
  <si>
    <t>LIN 2.0 API §2.5.10 (Table 2.1)</t>
  </si>
  <si>
    <t>AP-13</t>
  </si>
  <si>
    <t>[NEW] TP timeout handling (ISO timing constraints)</t>
  </si>
  <si>
    <t>Diagnostic transport layer must implement ISO timing constraints: N_As (sender ACK timeout), N_Bs (sender block timeout), N_Cs (sender inter-CF gap), N_Cr (receiver CF timeout). On timeout: abort multi-frame message and report error. Values per LIN 2.0 Diag §3.3.3 / ISO 15765.</t>
  </si>
  <si>
    <t>LIN 2.0 Diag §3.3.3</t>
  </si>
  <si>
    <t>Full support: ISO 17987, LIN 2.2, LIN 2.1, LIN 2.0. Limited support: LIN 1.3 (classic checksum only, no ETF/sporadic). Backward compatibility verified per feature.</t>
  </si>
  <si>
    <t>All errors from Layer 1 and Layer 2 reported to Layer 3 via status/callback interface. Application reads error flags per frame. Includes Response_Error, error_in_response, successful_transfer.</t>
  </si>
  <si>
    <t>LIN 2.0 Protocol §6</t>
  </si>
  <si>
    <t>Layer 1 must use iLLD ASCLIN APIs. Direct SFR access only where iLLD does not support the required feature.</t>
  </si>
  <si>
    <t>Coding standard compliance (MISRA-C 2012)</t>
  </si>
  <si>
    <t>Maximum number of slave nodes per cluster: TBD (LIN spec max = 16 slaves). Configurable at build time.</t>
  </si>
  <si>
    <t>LIN 2.0 §2.1</t>
  </si>
  <si>
    <r>
      <t xml:space="preserve">LIN stack total CPU load: TBD (target 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>5% at max baud rate and max frame rate). Measure on TC275 at target clock frequency.</t>
    </r>
  </si>
  <si>
    <t>GN-08</t>
  </si>
  <si>
    <t>[NEW] Interrupt disable/restore call-out interface (l_sys_irq_disable / l_sys_irq_restore)</t>
  </si>
  <si>
    <t>Application must provide l_sys_irq_disable() returning an l_irqmask, and l_sys_irq_restore(l_irqmask) to restore interrupt state. LIN core calls these before/after critical sections (e.g. inside l_sch_tick). These are user call-outs; not implemented inside the LIN stack.</t>
  </si>
  <si>
    <t>LIN 2.0 API §2.6</t>
  </si>
  <si>
    <t>GN-09</t>
  </si>
  <si>
    <t>[NEW] LIN API initialization sequence</t>
  </si>
  <si>
    <t>l_sys_init() must be the first API call before any other LIN core function. l_ifc_init(iii) must be called before l_ifc_connect(). Correct init sequence: l_sys_init() → l_ifc_init() → l_ifc_connect() → l_sch_set() → l_sch_tick() (periodic). Violating sequence is undefined behavior.</t>
  </si>
  <si>
    <t>LIN 2.0 API §2.1.1, §2.5.1</t>
  </si>
  <si>
    <t>API-01, API-04</t>
  </si>
  <si>
    <t>Summary: 8 NEW requirements added (PH-07, PH-08, DL-10, DL-11, DL-12, AP-10, AP-11, AP-12, AP-13, GN-08, GN-09) — gaps from LIN_Spec_Trace analysis fully resolved.</t>
  </si>
  <si>
    <t>New REQs: PH-07, PH-08 | DL-10, DL-11, DL-12 | AP-10, AP-11, AP-12, AP-13 | GN-08, GN-09  (11 new total)</t>
  </si>
  <si>
    <t>Existing+ REQs (detail strengthened): DL-04, DL-06, DL-07 (sporadic priority), DL-08 (sporadic priority), AP-05 (max 4095 bytes), AP-08 (4-sec auto-sleep), AP-09 (retry timing), GN-03 (Response_Error ref)</t>
  </si>
  <si>
    <t>PHYS-01</t>
    <phoneticPr fontId="1"/>
  </si>
  <si>
    <t>PH-06</t>
    <phoneticPr fontId="1"/>
  </si>
  <si>
    <t>AP-01 (signal read/write API) + AP-02 (LDF code generation) cover signal types and producer/subscriber model.</t>
  </si>
  <si>
    <t>DL-12 [NEW]: explicit requirement for atomic read/write of scalar signal buffers using critical section / interrupt disable.</t>
  </si>
  <si>
    <t>AP-02 loads LDF which encodes signal bit positions (LSB-first, byte boundary). No explicit standalone 'max 1 byte boundary crossing' rule stated as a separate REQ.</t>
  </si>
  <si>
    <t>DL-01 covers full frame structure. DL-04 now explicitly includes T_Frame_Maximum = 1.4 × T_Frame_Nominal (40% overhead rule).</t>
  </si>
  <si>
    <t>PH-04 specifies break length ≥13 bits dominant (master TX), slave detection threshold = 11 bits, delimiter ≥1 bit recessive.</t>
  </si>
  <si>
    <t>DL-07 [Existing+]: now explicitly requires slave to abort current frame and immediately start new frame on unexpected Break+Synch detection.</t>
  </si>
  <si>
    <t>DL-03 covers PID = ID[5:0] + P0/P1 with full parity formula. ID range categories (0–59, 60–61, 62, 63) included.</t>
  </si>
  <si>
    <t>DL-02 covers both classic (LIN 1.3 / IDs 0x3C–0x3F) and enhanced (LIN 2.x / IDs 0x00–0x3B) checksum with per-identifier selection.</t>
  </si>
  <si>
    <t>DL-04 [Existing+]: now explicitly states T_Frame_Maximum = 1.4 × T_Frame_Nominal (eq. 6–8). All subscribers must handle zero-overhead frames.</t>
  </si>
  <si>
    <t>DL-06 = master schedule (sends header when slot due). DL-07 = slave always provides response for unconditional frames it publishes.</t>
  </si>
  <si>
    <t>DL-09 covers ETF: slave responds only when signal updated; collision resolution by running all associated unconditional frames; all associated frames must be equal length + same checksum model.</t>
  </si>
  <si>
    <t>DL-08 [Existing+]: now explicitly states priority rule — if multiple sporadics share one slot, highest-priority frame with updated signal is sent. If none updated, slot is silent.</t>
  </si>
  <si>
    <t>AP-05 maps 0x3C/0x3D with 8 data bytes. AP-06 (Class I diag) + AP-07 (ReadByIdentifier) cover all diagnostic frame uses.</t>
  </si>
  <si>
    <t>DL-06 [Existing+]: now explicitly states unconditional frame for a sporadic/ETF must NOT share the same schedule table as its sporadic/ETF counterpart.</t>
  </si>
  <si>
    <t>DL-06, AP-11</t>
  </si>
  <si>
    <t>DL-06 covers schedule table management. AP-11 [NEW]: explicit l_sch_tick() / l_sch_set() API with master task state machine (wait → Break → Synch → PID) and correct timing per schedule.</t>
  </si>
  <si>
    <t>DL-07, DL-05</t>
  </si>
  <si>
    <t>DL-07 [Existing+]: explicit slave state machine — abort on Break+Synch, abort TX on readback mismatch. DL-05: checksum verification + all slave-task error conditions.</t>
  </si>
  <si>
    <t>AP-09 [Existing+]: now fully specifies wakeup retry timing — master sends headers within 150 ms; requesting node may retry 3 times (150 ms apart); after 3 failures wait ≥1.5 s.</t>
  </si>
  <si>
    <t>AP-08 [Existing+]: now explicitly requires slave auto-sleep after &gt;4 seconds of LIN bus inactivity, in addition to GoToSleep frame command.</t>
  </si>
  <si>
    <t>DL-10, DL-11, GN-03</t>
  </si>
  <si>
    <t>DL-10 [NEW]: Response_Error signal in slave TX frame (set on response error, auto-cleared after TX, not in ETF). DL-11 [NEW]: error_in_response + successful_transfer status bits per interface.</t>
  </si>
  <si>
    <t>PH-02, PH-07</t>
  </si>
  <si>
    <t>PH-07 [NEW]: explicitly requires Master ≤±0.5%, Slave (synched) ≤±1.5%, Slave (unsynced) ≤±14%, inter-node deviation ≤±2% per LIN 2.0 Physical Layer §1 Table 1.1.</t>
  </si>
  <si>
    <t>PH-08 [NEW]: explicit requirement for slave to measure falling edges of Synch byte (0x55) and calibrate T_bit = span/8 each frame. Covers RC oscillator slave nodes.</t>
  </si>
  <si>
    <t>PH-01 covers single-wire and 8–18 V range. PH-06 covers ASCLIN driver. Remaining gap: no explicit ISO 9141 compliance or diode-protection requirement stated in LIN_Stack_REQ_v2 (hardware design item, not stack software).</t>
  </si>
  <si>
    <t>AP-03 = NAD (Initial NAD, AssignNAD, ConditionalChangeNAD). AP-04 = frame ID assignment (AssignFrameId). AP-07 = LIN Product ID (Supplier + Function + Variant IDs).</t>
  </si>
  <si>
    <t>AP-04 covers AssignFrameId (SID 0xB1): NAD + Supplier ID + Message ID → slave assigns protected ID to frame.</t>
  </si>
  <si>
    <t>AP-07 covers mandatory ReadByIdentifier (SID 0xB2), Identifier 0 (Supplier ID + Function ID + Variant ID). Serial number and message IDs listed as optional.</t>
  </si>
  <si>
    <t>AP-03 explicitly lists AssignNAD (SID 0xB0) and ConditionalChangeNAD (SID 0xB3). Both are optional services per spec.</t>
  </si>
  <si>
    <t>AP-05 [Existing+]: now explicitly states SF/FF/CF PDU types, IDs 0x3C/0x3D, max message length 4095 bytes, and no flow control in LIN TP.</t>
  </si>
  <si>
    <t>AP-13 [NEW]: explicit TP timeout requirements — N_As, N_Bs, N_Cs, N_Cr per LIN 2.0 Diag §3.3.3 / ISO 15765. Stack must abort multi-frame message and report error on any timeout.</t>
  </si>
  <si>
    <t>GN-09 [NEW]: explicit API initialization sequence — l_sys_init() must be first call; l_ifc_init() before l_ifc_connect(). Correct sequence and undefined-behavior note included.</t>
  </si>
  <si>
    <t>AP-01 (signal read/write: l_bool/u8/u16/bytes rd/wr) + AP-02 (LDF code generation). Fully matches LIN API spec §2.2 signal access model.</t>
  </si>
  <si>
    <t>AP-10 [NEW]: explicit per-signal update flags — l_flg_tst(fff) and l_flg_clr(fff). Set by LIN module on frame RX/TX; cleared by application call.</t>
  </si>
  <si>
    <t>AP-11 [NEW]: explicit l_sch_tick(iii) (advances schedule, triggers TX, updates RX signals) and l_sch_set(iii, schedule, entry) (run-time schedule switch, takes effect at next tick after current slot).</t>
  </si>
  <si>
    <t>AP-08, AP-09, AP-12, DL-11</t>
  </si>
  <si>
    <t>AP-08/AP-09 cover goto_sleep/wake_up. AP-12 [NEW]: explicit l_ifc_read_status() 16-bit word — bit 0=error_in_response, bit 1=successful_transfer, bit 2=overrun, bits 4–9=last PID, bit 15=goto_sleep. All cleared after read.</t>
  </si>
  <si>
    <t>GN-08 [NEW]: explicit call-out interface — application must implement l_sys_irq_disable() returning l_irqmask and l_sys_irq_restore(l_irqmask). LIN core uses these for internal critical sections.</t>
  </si>
  <si>
    <t>Target: LIN_Stack_REQ_v2 sheet  |  Coverage = how many LIN 2.0 normative requirements are addressed by at least one REQ in LIN_Stack_REQ_v2</t>
  </si>
  <si>
    <t>LIN Stack – Software Architecture</t>
  </si>
  <si>
    <t>Target: AURIX™ TC275  |  Based on: LIN_Stack_REQ_v2  |  Approach: Single codebase, compile-time node-type switch</t>
  </si>
  <si>
    <t>Legend:</t>
  </si>
  <si>
    <t>COMMON = compiled for both Master &amp; Slave</t>
  </si>
  <si>
    <t>MASTER only (#ifdef LIN_MASTER)</t>
  </si>
  <si>
    <t>SLAVE only (#ifdef LIN_SLAVE)</t>
  </si>
  <si>
    <t>TOOL / offline</t>
  </si>
  <si>
    <t>Module / File</t>
  </si>
  <si>
    <t>Scope</t>
  </si>
  <si>
    <t>Responsibilities</t>
  </si>
  <si>
    <t>Key APIs / Functions</t>
  </si>
  <si>
    <t>LIN_Stack_REQ_v2 IDs</t>
  </si>
  <si>
    <t>LIN 2.0 Spec ref</t>
  </si>
  <si>
    <t>Layer 1
Physical</t>
  </si>
  <si>
    <t>lin_ph_common.c / .h</t>
  </si>
  <si>
    <t>COMMON</t>
  </si>
  <si>
    <t>ASCLIN hardware init (LIN mode, baud rate, frame format). Clock tolerance check. Shared physical-layer types and constants.</t>
  </si>
  <si>
    <t>LIN_PH_Init()
LIN_PH_SetBaudRate()
LIN_PH_GetStatus()</t>
  </si>
  <si>
    <t>PH-01, PH-02, PH-03, PH-06, PH-07, GN-04</t>
  </si>
  <si>
    <t>PHYS §1, §3
API §2.1 (init)</t>
  </si>
  <si>
    <t>lin_ph_master.c / .h</t>
  </si>
  <si>
    <t>MASTER only</t>
  </si>
  <si>
    <t>Generate Break field (≥13 dominant bits) + Break delimiter. Drive ASCLIN TX in master header mode.</t>
  </si>
  <si>
    <t>LIN_PH_SendBreak()
LIN_PH_SendSync()</t>
  </si>
  <si>
    <t>PH-04 (generate side)</t>
  </si>
  <si>
    <t>Protocol §2.1.1
Protocol §4.1</t>
  </si>
  <si>
    <t>lin_ph_slave.c / .h</t>
  </si>
  <si>
    <t>SLAVE only</t>
  </si>
  <si>
    <t>Detect Break (≥11-bit threshold). Baud-rate auto-calibration from Synch byte falling edges (T_bit = span/8). Wakeup pulse detect (&gt;150 μs dominant).</t>
  </si>
  <si>
    <t>LIN_PH_DetectBreak()
LIN_PH_SyncCalibrate()
LIN_PH_DetectWakeup()</t>
  </si>
  <si>
    <t>PH-04 (detect side), PH-05, PH-08</t>
  </si>
  <si>
    <t>Protocol §2.1.1
Physical §2.2
Protocol §5.1</t>
  </si>
  <si>
    <t>Layer 2
Data Link</t>
  </si>
  <si>
    <t>lin_frame.c / .h</t>
  </si>
  <si>
    <t>Build and parse full LIN frame (Break+Sync+PID+Data+Checksum). Compute and verify PID (P0/P1 parity). Compute classic and enhanced checksum. Detect and report all frame-level errors.</t>
  </si>
  <si>
    <t>LIN_Frame_Build()
LIN_Frame_Parse()
LIN_PID_Compute()
LIN_Checksum_Calc()
LIN_Frame_GetError()</t>
  </si>
  <si>
    <t>Protocol §2.1
§2.1.3, §2.1.5
§4.2.2</t>
  </si>
  <si>
    <t>lin_timing.c / .h</t>
  </si>
  <si>
    <r>
      <t>Inter-byte space timer (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>4 bit-times). Response space timer (</t>
    </r>
    <r>
      <rPr>
        <sz val="11"/>
        <color theme="1"/>
        <rFont val="Yu Gothic"/>
        <family val="2"/>
        <scheme val="minor"/>
      </rPr>
      <t>≤</t>
    </r>
    <r>
      <rPr>
        <sz val="11"/>
        <color theme="1"/>
        <rFont val="Yu Gothic"/>
        <family val="2"/>
        <scheme val="minor"/>
      </rPr>
      <t>2 bit-times). Frame slot T_Frame_Maximum = 1.4 × T_Frame_Nominal. Timeout detection for no-response.</t>
    </r>
  </si>
  <si>
    <t>LIN_Timer_Start()
LIN_Timer_Stop()
LIN_Timer_IsExpired()
LIN_Slot_CalcMax()</t>
  </si>
  <si>
    <t>Protocol §2.2
(Eq. 6–8)</t>
  </si>
  <si>
    <t>lin_slave_task.c / .h</t>
  </si>
  <si>
    <r>
      <t xml:space="preserve">Slave task state machine (Dormant </t>
    </r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Active). Publish response for owned frame IDs. Subscribe and store RX data. Abort frame on new Break+Synch. Abort TX on readback mismatch. Set/clear Response_Error signal.</t>
    </r>
  </si>
  <si>
    <t>LIN_SlaveTask_Run()
LIN_SlaveTask_OnBreak()
LIN_SlaveTask_Publish()
LIN_SlaveTask_Subscribe()
LIN_ResponseError_Set()</t>
  </si>
  <si>
    <t>DL-05, DL-07, DL-10, DL-11</t>
  </si>
  <si>
    <t>Protocol §4.2
§2.1.2, §6.3, §6.4</t>
  </si>
  <si>
    <t>lin_schedule.c / .h</t>
  </si>
  <si>
    <t>Schedule table management. l_sch_tick() advances slot and triggers frame TX. l_sch_set() switches active schedule at runtime. Unconditional/sporadic/ETF slot dispatch. Enforces schedule isolation rule (sporadic/ETF vs unconditional).</t>
  </si>
  <si>
    <t>l_sch_tick()
l_sch_set()
LIN_SCH_Dispatch()
LIN_SCH_NextSlot()</t>
  </si>
  <si>
    <t>Protocol §3.1
API §2.4</t>
  </si>
  <si>
    <t>lin_sporadic_etf.c / .h</t>
  </si>
  <si>
    <t>Sporadic frame: send only when associated signal updated; priority arbitration if multiple sporadics share same slot. ETF: poll slave, detect collision, switch to collision-resolving schedule.</t>
  </si>
  <si>
    <t>LIN_Sporadic_Check()
LIN_Sporadic_GetHighest()
LIN_ETF_Poll()
LIN_ETF_ResolveCollision()</t>
  </si>
  <si>
    <t>DL-08, DL-09</t>
  </si>
  <si>
    <t>Protocol §2.3.2
§2.3.3</t>
  </si>
  <si>
    <t>lin_signal.c / .h</t>
  </si>
  <si>
    <t>Signal buffer management. Atomic read/write using critical section (l_sys_irq_disable/restore). Per-signal update flags (l_flg_tst / l_flg_clr). Signal pack/unpack between frame bytes and signal values.</t>
  </si>
  <si>
    <t>l_bool_rd/wr()
l_u8_rd/wr()
l_u16_rd/wr()
l_bytes_rd/wr()
l_flg_tst(), l_flg_clr()</t>
  </si>
  <si>
    <t>DL-12, AP-01, AP-10, GN-08</t>
  </si>
  <si>
    <t>Protocol §1.2, §1.3
API §2.2, §2.3, §2.6</t>
  </si>
  <si>
    <t>Layer 3
Application</t>
  </si>
  <si>
    <t>lin_ifc.c / .h</t>
  </si>
  <si>
    <t>LIN interface management. l_sys_init() (must be first call). l_ifc_init() + l_ifc_connect(). l_ifc_goto_sleep() / l_ifc_wake_up(). l_ifc_read_status() returns 16-bit status word (error_in_response, successful_transfer, overrun, last PID, goto_sleep flag).</t>
  </si>
  <si>
    <t>l_sys_init()
l_ifc_init()
l_ifc_connect()
l_ifc_goto_sleep()
l_ifc_wake_up()
l_ifc_read_status()</t>
  </si>
  <si>
    <t>AP-08, AP-09, AP-12, DL-11, GN-09</t>
  </si>
  <si>
    <t>API §2.1, §2.5
Protocol §5.1, §5.2</t>
  </si>
  <si>
    <t>lin_node_config.c / .h</t>
  </si>
  <si>
    <t>Node configuration services. NAD management (Initial NAD, AssignNAD, ConditionalChangeNAD). AssignFrameId service. ReadByIdentifier (LIN Product ID: Supplier + Function + Variant ID).</t>
  </si>
  <si>
    <t>LIN_NAD_Assign()
LIN_NAD_CondChange()
LIN_FrameID_Assign()
LIN_NodeID_Read()</t>
  </si>
  <si>
    <t>AP-03, AP-04, AP-07, DIAG-01~04</t>
  </si>
  <si>
    <t>Diag §2.4~§2.6</t>
  </si>
  <si>
    <t>lin_tp.c / .h</t>
  </si>
  <si>
    <t>Transport Layer: segmented message transfer via diagnostic frames (0x3C/0x3D). SF / FF / CF PDU assembly and disassembly. Max 4095-byte messages. ISO timing: N_As, N_Bs, N_Cs, N_Cr timeout monitoring. Abort and report error on timeout.</t>
  </si>
  <si>
    <t>LIN_TP_Send()
LIN_TP_Receive()
LIN_TP_OnTimer()
LIN_TP_AbortMsg()</t>
  </si>
  <si>
    <t>AP-05, AP-13</t>
  </si>
  <si>
    <t>Diag §3.3
§3.3.3 (ISO 15765)</t>
  </si>
  <si>
    <t>lin_diag.c / .h</t>
  </si>
  <si>
    <t>Diagnostic Class I services over TP. ReadDataByIdentifier (0x22). ReadDTCInformation (0x19). ClearDiagnosticInformation (0x14). Routes responses through lin_tp.c.</t>
  </si>
  <si>
    <t>LIN_Diag_ReadDataById()
LIN_Diag_ReadDTC()
LIN_Diag_ClearDTC()
LIN_Diag_Dispatch()</t>
  </si>
  <si>
    <t>Diag §3</t>
  </si>
  <si>
    <t>lin_sleep_wake.c / .h</t>
  </si>
  <si>
    <t>Sleep/wakeup state machine (common logic). Master: send GoToSleep frame + wakeup retry (3 retries × 150 ms, then wait 1.5 s). Slave: receive GoToSleep, auto-sleep on 4 s bus inactivity, detect wakeup pulse.</t>
  </si>
  <si>
    <t>LIN_Sleep_Request()
LIN_Wake_Send()
LIN_Sleep_OnInactivity()
LIN_Wake_OnPulse()</t>
  </si>
  <si>
    <t>Protocol §5.1, §5.2</t>
  </si>
  <si>
    <t>General /
Cross-layer</t>
  </si>
  <si>
    <t>lin_error.c / .h</t>
  </si>
  <si>
    <t>Centralized error aggregation. Collects error flags from L1 and L2, propagates to L3 via callback/status interface. Per-frame error flag storage readable by application.</t>
  </si>
  <si>
    <t>LIN_Error_Report()
LIN_Error_GetFlags()
LIN_Error_ClearFlags()
LIN_ErrorCb_Register()</t>
  </si>
  <si>
    <t>Protocol §6
API §2.5</t>
  </si>
  <si>
    <t>lin_irq.c / .h</t>
  </si>
  <si>
    <t>IRQ disable/restore call-out stubs. Application provides l_sys_irq_disable() + l_sys_irq_restore(). LIN core calls these before/after critical sections (e.g., inside signal buffer access, l_sch_tick).</t>
  </si>
  <si>
    <t>l_sys_irq_disable()
l_sys_irq_restore()
[call-outs: app-provided]</t>
  </si>
  <si>
    <t>API §2.6</t>
  </si>
  <si>
    <t>lin_config.h</t>
  </si>
  <si>
    <t>Central compile-time configuration. #define LIN_NODE_TYPE (MASTER/SLAVE). Max node count. Baud rate default. Stack version. Feature enable/disable flags (e.g., LIN_FEATURE_ETF, LIN_FEATURE_DIAG_CLASS1).</t>
  </si>
  <si>
    <t>LIN_NODE_TYPE
LIN_MAX_SLAVES
LIN_BAUD_DEFAULT
LIN_FEATURE_ETF
LIN_FEATURE_DIAG_CLASS1</t>
  </si>
  <si>
    <t>PH-02, PH-03, GN-01, GN-06</t>
  </si>
  <si>
    <t>Protocol §2.1
§2.3 (version)</t>
  </si>
  <si>
    <t>Tools
(offline)</t>
  </si>
  <si>
    <t>ldf_gen (LDF code generator)</t>
  </si>
  <si>
    <t>TOOL</t>
  </si>
  <si>
    <t>Reads *.ldf file. Generates: lin_signals_gen.h (signal accessor macros + flag names), lin_frames_gen.h (frame ID table, data length, publisher/subscriber assignment), lin_schedule_gen.h (schedule tables array).</t>
  </si>
  <si>
    <t>Output: lin_signals_gen.h
lin_frames_gen.h
lin_schedule_gen.h</t>
  </si>
  <si>
    <t>LIN Config Lang §2
(LDF spec)</t>
  </si>
  <si>
    <t>Build Dependency Order (bottom-up)</t>
  </si>
  <si>
    <t>1. lin_config.h</t>
  </si>
  <si>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no dependencies</t>
    </r>
  </si>
  <si>
    <t>2. lin_irq.c</t>
  </si>
  <si>
    <t>→ lin_config.h</t>
  </si>
  <si>
    <t>3. lin_ph_common.c + lin_ph_master/slave.c</t>
  </si>
  <si>
    <t>→ lin_config.h, lin_irq.c</t>
  </si>
  <si>
    <t>4. lin_frame.c + lin_timing.c</t>
  </si>
  <si>
    <t>→ lin_ph_*.c, lin_config.h</t>
  </si>
  <si>
    <t>5. lin_signal.c  (needs lin_irq.c for atomicity)</t>
  </si>
  <si>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lin_frame.c, lin_irq.c, ldf_gen outputs</t>
    </r>
  </si>
  <si>
    <t>6. lin_slave_task.c  OR  lin_schedule.c + lin_sporadic_etf.c</t>
  </si>
  <si>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lin_frame.c, lin_timing.c, lin_signal.c</t>
    </r>
  </si>
  <si>
    <t>7. lin_error.c</t>
  </si>
  <si>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lin_slave_task.c / lin_schedule.c, lin_frame.c</t>
    </r>
  </si>
  <si>
    <r>
      <t xml:space="preserve">8. lin_tp.c  </t>
    </r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 lin_diag.c  </t>
    </r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 lin_node_config.c</t>
    </r>
  </si>
  <si>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lin_frame.c, lin_timing.c, lin_error.c</t>
    </r>
  </si>
  <si>
    <t>9. lin_sleep_wake.c</t>
  </si>
  <si>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lin_ph_*.c, lin_frame.c, lin_timing.c</t>
    </r>
  </si>
  <si>
    <t>10. lin_ifc.c  (top-level API facade)</t>
  </si>
  <si>
    <r>
      <rPr>
        <sz val="11"/>
        <color theme="1"/>
        <rFont val="Yu Gothic"/>
        <family val="2"/>
        <scheme val="minor"/>
      </rPr>
      <t>→</t>
    </r>
    <r>
      <rPr>
        <sz val="11"/>
        <color theme="1"/>
        <rFont val="Yu Gothic"/>
        <family val="2"/>
        <scheme val="minor"/>
      </rPr>
      <t xml:space="preserve"> all modules above</t>
    </r>
  </si>
  <si>
    <t>Requirements Coverage Summary</t>
  </si>
  <si>
    <t>Module</t>
  </si>
  <si>
    <t>REQs covered</t>
  </si>
  <si>
    <t>Count</t>
  </si>
  <si>
    <t>lin_ph_common.c</t>
  </si>
  <si>
    <t>lin_ph_master.c</t>
  </si>
  <si>
    <t>PH-04 (generate)</t>
  </si>
  <si>
    <t>lin_ph_slave.c</t>
  </si>
  <si>
    <t>PH-04 (detect), PH-05, PH-08</t>
  </si>
  <si>
    <t>lin_frame.c</t>
  </si>
  <si>
    <t>lin_timing.c</t>
  </si>
  <si>
    <t>lin_slave_task.c</t>
  </si>
  <si>
    <t>lin_schedule.c</t>
  </si>
  <si>
    <t>lin_sporadic_etf.c</t>
  </si>
  <si>
    <t>lin_signal.c</t>
  </si>
  <si>
    <t>lin_ifc.c</t>
  </si>
  <si>
    <t>lin_node_config.c</t>
  </si>
  <si>
    <t>lin_tp.c</t>
  </si>
  <si>
    <t>lin_diag.c</t>
  </si>
  <si>
    <t>lin_sleep_wake.c</t>
  </si>
  <si>
    <t>lin_error.c</t>
  </si>
  <si>
    <t>lin_irq.c</t>
  </si>
  <si>
    <t>ldf_gen (tool)</t>
  </si>
  <si>
    <t>GN-02, GN-04, GN-05, GN-07 covered by overall architecture / dev process (not a single file)</t>
  </si>
  <si>
    <t>→ Initialize and switch the system clock from the default startup clock source to the application target clock configuration.</t>
    <phoneticPr fontId="1"/>
  </si>
  <si>
    <t>→ The software shall verify that the system clock source has been successfully switched to the configured target clock source.</t>
    <phoneticPr fontId="1"/>
  </si>
  <si>
    <t>→ Initialize used peripherals to safe/default configuration</t>
    <phoneticPr fontId="1"/>
  </si>
  <si>
    <t>· Initialize used registers</t>
    <phoneticPr fontId="1"/>
  </si>
  <si>
    <t>→ Provide two main cycle periods: 4 ms (normal)</t>
    <phoneticPr fontId="1"/>
  </si>
  <si>
    <t>TBD</t>
    <phoneticPr fontId="1"/>
  </si>
  <si>
    <t>Plan to implement in future</t>
    <phoneticPr fontId="1"/>
  </si>
  <si>
    <t>· Application</t>
    <phoneticPr fontId="1"/>
  </si>
  <si>
    <t>→ TBD</t>
    <phoneticPr fontId="1"/>
  </si>
  <si>
    <t>GN-01 references ISO 17987 across all layers. PH-01/PH-02 cover physical layer compliance per ISO 17987-3/4.</t>
  </si>
  <si>
    <t>AUTOSAR-specific layering (LINIf/LINDrv/LinTp) not mapped. GN-02 covers layered architecture but not AUTOSAR module names or BSW interfaces.</t>
  </si>
  <si>
    <t>No AUTOSAR BSW slave node architecture (LINIf slave role, LinTp slave) mapped. LIN_Stack_REQ_v2 defines functional layers but not AUTOSAR component boundaries.</t>
  </si>
  <si>
    <t>AP-03 = NAD assignment (AssignNAD, ConditionalChangeNAD). AP-04 = AssignFrameId. AP-07 = ReadByIdentifier (LIN Product ID: Supplier+Function+Variant).</t>
  </si>
  <si>
    <t>DL-06: schedule table management; all config services (AP-03/AP-04) are triggered via master schedule table entries.</t>
  </si>
  <si>
    <t>DL-12, AP-01</t>
  </si>
  <si>
    <t>DL-12 [NEW]: explicit atomic read/write of signal buffers using interrupt-disable critical section. AP-01: signal read/write API. Fully addresses LIN-SDU consistent copy requirement.</t>
  </si>
  <si>
    <t>AP-08 = GoToSleep + auto-sleep on 4-sec inactivity (now explicit). AP-09 = wakeup recovery including mid-transition (retry 3×/150 ms/1.5 s).</t>
  </si>
  <si>
    <t>GN-01, DL-01, DL-02, DL-03, DL-04, DL-05, DL-06, DL-07, DL-08, DL-09</t>
  </si>
  <si>
    <t>GN-01: multi-version compliance. Full DL layer (DL-01~09) covers protocol-level frame handling per LIN 2.0.</t>
  </si>
  <si>
    <t>No requirement for supporting multiple LIN Driver instances under one Interface layer. LIN_Stack_REQ_v2 targets single-channel TC275 ASCLIN.</t>
  </si>
  <si>
    <t>GN-02 defines layer boundaries (Physical/DataLink/Application). PH-06 binds specifically to ASCLIN/iLLD. No explicit HAL/HW-abstraction interface requirement.</t>
  </si>
  <si>
    <t>PH-06 covers ASCLIN init. No explicit per-channel separate init requirement. GN-09 defines API init sequence but not multi-channel separation.</t>
  </si>
  <si>
    <t>AP-02 covers LDF-based config at build time only. No run-time dynamic config-set switching requirement in LIN_Stack_REQ_v2.</t>
  </si>
  <si>
    <t>DL-06 = schedule table. DL-08 = sporadic frames. DL-09 = event-triggered frames with collision resolution.</t>
  </si>
  <si>
    <t>DL-06 covers schedule table management for master including unconditional/sporadic/ETF slot dispatch.</t>
  </si>
  <si>
    <t>No requirement for a per-channel main/tick function API in LIN_Stack_REQ_v2. AP-11 covers l_sch_tick but is not defined as a per-channel main function.</t>
  </si>
  <si>
    <t>DL-04, DL-06, AP-11</t>
  </si>
  <si>
    <t>DL-04: timing. DL-06: schedule. AP-11 [NEW]: l_sch_tick() / l_sch_set() explicit API. No OS/RTOS timer-service integration requirement.</t>
  </si>
  <si>
    <t>DL-01 = frame TX. AP-01 = signal write API (l_u8_wr, l_u16_wr etc.) that triggers schedule-based TX.</t>
  </si>
  <si>
    <t>AP-09: wakeup detection + notification. GN-03: event/error notification propagated from L1/L2 to application layer.</t>
  </si>
  <si>
    <t>PH-05: wakeup pulse detect (250 μs–5 ms). AP-09: wakeup API + retry timing. Both master and slave wakeup handling covered.</t>
  </si>
  <si>
    <t>AP-10, GN-03</t>
  </si>
  <si>
    <t>AP-10 [NEW]: per-signal/frame update flags (l_flg_tst/l_flg_clr) — explicit RX notification. GN-03: error callback propagation covers TX notification.</t>
  </si>
  <si>
    <t>DL-05: all frame-level error detection (checksum, framing, parity, bit error, timeout). DL-11 adds error_in_response/successful_transfer status bits.</t>
  </si>
  <si>
    <t>DL-10 [NEW]: explicit requirement for Response_Error signal in slave TX frame — set on response error, auto-cleared after TX, must not be placed in ETF.</t>
  </si>
  <si>
    <t>AP-08: GoToSleep API + frame (0x3C, data[0]=0x00). Bus enters sleep state after command.</t>
  </si>
  <si>
    <t>AP-08 [Existing+]: now explicitly includes auto-sleep after &gt;4 seconds of LIN bus inactivity, covering slave bus-idle observation requirement.</t>
  </si>
  <si>
    <t>DL-01, DL-02, DL-03, DL-04, DL-05, DL-06, DL-07, DL-08, DL-09, PH-04</t>
  </si>
  <si>
    <t>Full Data Link Layer (DL-01~09) + PH-04 (break generation/detection). All frame-level protocol requirements mapped.</t>
  </si>
  <si>
    <t>AUTOSAR SPAL requirements not addressed. LIN_Stack_REQ_v2 targets iLLD on TC275, not AUTOSAR BSW module interface.</t>
  </si>
  <si>
    <t>GN-02 defines layer boundaries. PH-06 ties implementation to TC275 ASCLIN. No platform-abstraction interface or HAL requirement.</t>
  </si>
  <si>
    <t>DL-01 covers frame data field (1–8 bytes). No explicit buffer-copy API (e.g., Lin_SendFrame() with data pointer) requirement.</t>
  </si>
  <si>
    <t>GN-03 covers error callbacks. AP-10 [NEW] adds per-signal update flags. No explicit interrupt-based TX-complete / RX-indication callback API requirement.</t>
  </si>
  <si>
    <t>PH-06 uses TC275 ASCLIN (LIN-optimized HW). No fallback requirement for standard UART mode per AUTOSAR SWS_Lin.</t>
  </si>
  <si>
    <t>PH-06 covers ASCLIN init. GN-09 [NEW]: explicit init sequence. No per-channel init separation requirement.</t>
  </si>
  <si>
    <t>AP-02 = build-time LDF config. No dynamic (run-time) config-set selection requirement in LIN_Stack_REQ_v2.</t>
  </si>
  <si>
    <t>PH-05: wakeup pulse detection (250 μs–5 ms dominant). GN-03: notification propagation to upper layer.</t>
  </si>
  <si>
    <t>No multi-channel LIN Driver requirement in LIN_Stack_REQ_v2. Single-channel TC275 ASCLIN target only.</t>
  </si>
  <si>
    <t>AP-08: GoToSleep command + bus sleep state management. Both master-initiated and slave-received GoToSleep covered.</t>
  </si>
  <si>
    <t>AP-08 covers bus sleep. No explicit ASCLIN HW clock-gate or power-mode register requirement in LIN_Stack_REQ_v2.</t>
  </si>
  <si>
    <t>DL-05: error detection (checksum, bit, framing, parity, timeout). GN-03: status/callback notification. DL-11 [NEW]: error_in_response status bit readable via l_ifc_read_status().</t>
  </si>
  <si>
    <t>No LIN Transceiver Driver layer in LIN_Stack_REQ_v2. Physical layer (PH-01~PH-06) covers electrical/protocol PHY but not a separate transceiver driver component.</t>
  </si>
  <si>
    <t>No transceiver driver multi-channel config requirement. Not in scope of LIN_Stack_REQ_v2.</t>
  </si>
  <si>
    <t>No LinTrcv_Init() API or initialization requirement for transceiver driver in LIN_Stack_REQ_v2.</t>
  </si>
  <si>
    <t>No synchronous API design requirement for transceiver driver in LIN_Stack_REQ_v2.</t>
  </si>
  <si>
    <t>No transceiver Standby mode control requirement in LIN_Stack_REQ_v2. PH layer does not cover transceiver EN/STB pin control.</t>
  </si>
  <si>
    <t>AP-08 covers bus sleep (software GoToSleep). No explicit transceiver Sleep-mode pin/register control requirement in LIN_Stack_REQ_v2.</t>
  </si>
  <si>
    <t>AP-09 covers wakeup/resume. No transceiver Normal-mode pin control (e.g. EN pin toggling) requirement.</t>
  </si>
  <si>
    <t>No API to read current transceiver operation mode (Normal/Standby/Sleep) in LIN_Stack_REQ_v2.</t>
  </si>
  <si>
    <t>No API to read last wakeup reason (bus wakeup vs. internal wakeup) in LIN_Stack_REQ_v2.</t>
  </si>
  <si>
    <t>No transceiver wakeup notification enable/disable API in LIN_Stack_REQ_v2.</t>
  </si>
  <si>
    <t>AP-13 [NEW]: explicit TP timeout requirements — N_As, N_Bs, N_Cs, N_Cr per ISO 15765. Covers static timeout values. Note: per-connection configurability not yet required.</t>
  </si>
  <si>
    <t>AP-05 references ISO 17987-2 §7 for TP. PDU types (SF/FF/CF), frame IDs (0x3C/0x3D), max message length 4095 bytes all explicitly stated.</t>
  </si>
  <si>
    <t>AP-05 covers TP function. No explicit LinTp_Init() API requirement. GN-09 [NEW] covers l_sys_init / l_ifc_init sequence but not TP-specific init function.</t>
  </si>
  <si>
    <t>GN-09 [NEW]: explicit init sequence (l_sys_init → l_ifc_init → l_ifc_connect) with undefined-behavior note if violated. Partially covers TP pre-init guard but no dedicated LinTp init-guard requirement.</t>
  </si>
  <si>
    <t>PH-01: single-wire half-duplex by design. AP-05: TP uses IDs 0x3C/0x3D half-duplex frames. Both explicitly state half-duplex constraint.</t>
  </si>
  <si>
    <t>AP-05/AP-06 cover TP and diagnostics. No requirement for anytime functional request arbitration or abort mechanism for conflicting TP requests.</t>
  </si>
  <si>
    <t>AP-05 covers TP. No per-channel TP instance or TP handle concept requirement in LIN_Stack_REQ_v2.</t>
  </si>
  <si>
    <t>AP-02 = build-time LDF config; AP-05 = TP. No explicit static TP connection config (NAD, frame IDs, max PDU) as a separate REQ.</t>
  </si>
  <si>
    <t>DL-06 = master schedule. AP-05 = TP TX. No explicit master TP-TX handler state machine or diag-over-LIN arbitration requirement.</t>
  </si>
  <si>
    <t>DL-07 = slave response. AP-05 = TP. No explicit slave TP-TX handler state machine or TP response buffer management requirement.</t>
  </si>
  <si>
    <t>Target: LIN_Stack_REQ_v2  |  Source: AUTOSAR_SRS_LIN.pdf  |  Coverage = AUTOSAR SRS items addressed by ≥1 REQ in LIN_Stack_REQ_v2</t>
  </si>
  <si>
    <t>· Check sleep condition</t>
    <phoneticPr fontId="1"/>
  </si>
  <si>
    <t>→ WDT must be serviced (kicked) in every main cycle to prevent reset.</t>
    <phoneticPr fontId="1"/>
  </si>
  <si>
    <t>→ The software shall determine whether Deep Power-Down entry is permitted based on configured sleep conditions.</t>
    <phoneticPr fontId="1"/>
  </si>
  <si>
    <t>■ Sleep/Wakeup</t>
    <phoneticPr fontId="1"/>
  </si>
  <si>
    <t>・ Prepare sleep / DPD entry</t>
  </si>
  <si>
    <t>・ Configure wake-up source</t>
  </si>
  <si>
    <t>・ Detect wake-up cause</t>
  </si>
  <si>
    <t>・ Restore or reinitialize after wake-up</t>
  </si>
  <si>
    <t>*Call Sleep/Wakeup API</t>
    <phoneticPr fontId="1"/>
  </si>
  <si>
    <t>→ Verify that all configured sleep conditions are satisfied before entering a low-power mode.</t>
    <phoneticPr fontId="1"/>
  </si>
  <si>
    <t>→ Save required runtime data and place peripherals into a safe state before entering a low-power mode.</t>
    <phoneticPr fontId="1"/>
  </si>
  <si>
    <t>→ Configure and enable the required wake-up sources before entering a low-power mode.</t>
    <phoneticPr fontId="1"/>
  </si>
  <si>
    <t>→ Supported wake-up sources: TBD (e.g. RTC alarm, wake-up pin, communication event).</t>
    <phoneticPr fontId="1"/>
  </si>
  <si>
    <t>→ Enter Sleep mode when requested and all sleep entry conditions are satisfied.</t>
    <phoneticPr fontId="1"/>
  </si>
  <si>
    <t>・ Enter Sleep mode</t>
    <phoneticPr fontId="1"/>
  </si>
  <si>
    <t>・ Enter Deep Sleep mode</t>
    <phoneticPr fontId="1"/>
  </si>
  <si>
    <t>・ Enter Deep Power-Down (DPD) mode</t>
    <phoneticPr fontId="1"/>
  </si>
  <si>
    <t>→ Enter Deep Sleep mode when requested and all sleep entry conditions are satisfied.</t>
    <phoneticPr fontId="1"/>
  </si>
  <si>
    <t>→ Enter Deep Power-Down mode when requested and all sleep entry conditions are satisfied.</t>
    <phoneticPr fontId="1"/>
  </si>
  <si>
    <t>→ Save all required persistent data before entering DPD mode.</t>
    <phoneticPr fontId="1"/>
  </si>
  <si>
    <t>→ Determine whether the system startup was caused by Power-On Reset, Software Reset, Watchdog Reset, Brown-Out Reset, or Deep Power-Down wake-up.</t>
    <phoneticPr fontId="1"/>
  </si>
  <si>
    <t>→ Restore clocks, peripherals, and software execution context required for normal operation after wake-up from Sleep mode.</t>
    <phoneticPr fontId="1"/>
  </si>
  <si>
    <t>· Restore system operation after Deep Sleep wake-up</t>
    <phoneticPr fontId="1"/>
  </si>
  <si>
    <t>→ Restore clocks and peripherals required for normal operation after wake-up from Deep Sleep mode.</t>
    <phoneticPr fontId="1"/>
  </si>
  <si>
    <t>· Reinitialize system after Deep Power-Down wake-up</t>
    <phoneticPr fontId="1"/>
  </si>
  <si>
    <t>→ Execute the normal startup sequence after wake-up from Deep Power-Down mode.</t>
    <phoneticPr fontId="1"/>
  </si>
  <si>
    <t>→ Reload required parameters from NVM/Flash.</t>
    <phoneticPr fontId="1"/>
  </si>
  <si>
    <t>→ Restore application state as required.</t>
    <phoneticPr fontId="1"/>
  </si>
  <si>
    <t>· Initialize GPIO subsystem</t>
  </si>
  <si>
    <t>→ Initialize all configured GPIO pins before completion of the startup sequence.</t>
  </si>
  <si>
    <t>· Configure pin function</t>
  </si>
  <si>
    <t>→ Configure each GPIO pin according to the GPIO configuration table.</t>
  </si>
  <si>
    <t>→ The configuration table shall define port number, pin number, direction, drive mode, initial state, and alternate function assignment.</t>
  </si>
  <si>
    <t>· Configure pin direction</t>
  </si>
  <si>
    <t>→ Configure each GPIO pin as input, output, or alternate function according to the GPIO configuration table.</t>
  </si>
  <si>
    <t>· Configure initial output state</t>
  </si>
  <si>
    <t>→ Apply the configured initial output level before enabling normal application operation.</t>
  </si>
  <si>
    <t>→ Default output level shall be Low unless otherwise specified.</t>
  </si>
  <si>
    <t>· Configure internal pull resistor</t>
  </si>
  <si>
    <t>→ Configure pull-up, pull-down, or high-impedance mode according to the GPIO configuration table.</t>
  </si>
  <si>
    <t>· Configure GPIO interrupt</t>
  </si>
  <si>
    <t>→ Configure GPIO interrupt settings according to the GPIO configuration table.</t>
  </si>
  <si>
    <t>→ Interrupt trigger condition (rising edge, falling edge, both edges, high level, low level) shall be configurable.</t>
  </si>
  <si>
    <t>· Configure wake-up source</t>
  </si>
  <si>
    <t>→ Configure designated GPIO pins as wake-up sources for Sleep, Deep Sleep, or Deep Power-Down modes.</t>
  </si>
  <si>
    <t>→ The wake-up source configuration shall be validated before entering a low-power mode.</t>
  </si>
  <si>
    <t>· Read GPIO input state</t>
  </si>
  <si>
    <t>→ The software shall provide an interface to read the logical state of configured GPIO input pins.</t>
  </si>
  <si>
    <t>· Control GPIO output state</t>
  </si>
  <si>
    <t>→ The software shall provide an interface to set and clear the logical state of configured GPIO output pins.</t>
  </si>
  <si>
    <t>· Read GPIO output state</t>
  </si>
  <si>
    <t>→ The software shall provide an interface to obtain the current logical state of configured GPIO output pins.</t>
  </si>
  <si>
    <t>· Detect GPIO interrupt event</t>
  </si>
  <si>
    <t>→ The software shall detect and clear GPIO interrupt events before returning from the interrupt service routine.</t>
  </si>
  <si>
    <t>· Configure unused pins</t>
  </si>
  <si>
    <t>→ Unused GPIO pins shall be configured to a defined safe state to prevent floating inputs and unnecessary power consumption.</t>
  </si>
  <si>
    <t>· Verify GPIO initialization</t>
  </si>
  <si>
    <t>→ The software shall verify that GPIO configuration is completed before enabling normal application operation.</t>
  </si>
  <si>
    <t>· Select system clock source</t>
  </si>
  <si>
    <t>→ Configure the system clock source according to the clock configuration table.</t>
  </si>
  <si>
    <t>· Configure system clock frequency</t>
  </si>
  <si>
    <t>→ Configure the system clock frequency according to the system configuration.</t>
  </si>
  <si>
    <t>· Verify active clock source</t>
  </si>
  <si>
    <t>■ Clock</t>
  </si>
  <si>
    <t>· Initialize clock subsystem</t>
  </si>
  <si>
    <t>→ Initialize the clock subsystem during startup before normal application operation.</t>
  </si>
  <si>
    <t>→ Verify that the active system clock source matches the configured target clock source after switching.</t>
  </si>
  <si>
    <t>■ Timer</t>
    <phoneticPr fontId="1"/>
  </si>
  <si>
    <t xml:space="preserve">Note: </t>
    <phoneticPr fontId="1"/>
  </si>
  <si>
    <t>Requirements may be updated as the design progresses or HW limitation</t>
    <phoneticPr fontId="1"/>
  </si>
  <si>
    <t xml:space="preserve">Board-dependent hardware settings shall be isolated in configuration tables or board-specific modules </t>
    <phoneticPr fontId="1"/>
  </si>
  <si>
    <t>so that the common software logic can be reused across different target boards with minimum modification.</t>
    <phoneticPr fontId="1"/>
  </si>
  <si>
    <r>
      <t>Policy:</t>
    </r>
    <r>
      <rPr>
        <sz val="11"/>
        <color rgb="FFFF0000"/>
        <rFont val="Tahoma"/>
        <family val="3"/>
        <charset val="222"/>
      </rPr>
      <t xml:space="preserve"> </t>
    </r>
    <phoneticPr fontId="1"/>
  </si>
  <si>
    <t>Software Requirements – PSoC™ 6 AI Evaluation Kit</t>
    <phoneticPr fontId="1"/>
  </si>
  <si>
    <t>→ Timeout: TBD (e.g. 32 ms). Must be longer than the main cycle period (Depends on user).</t>
    <phoneticPr fontId="1"/>
  </si>
  <si>
    <t>→ Re-enable WDT immediately after Flash write is complete (Depends on user).</t>
    <phoneticPr fontId="1"/>
  </si>
  <si>
    <t>· Initialize system timer</t>
    <phoneticPr fontId="1"/>
  </si>
  <si>
    <t>→ Initialize the system timer before normal application operation.</t>
    <phoneticPr fontId="1"/>
  </si>
  <si>
    <t>· Configure base tick period</t>
    <phoneticPr fontId="1"/>
  </si>
  <si>
    <t>→ Generate a 1 ms base tick for software timing services.</t>
    <phoneticPr fontId="1"/>
  </si>
  <si>
    <t>· Provide timeout service</t>
    <phoneticPr fontId="1"/>
  </si>
  <si>
    <t>→ Provide timeout measurement based on the system time base.</t>
    <phoneticPr fontId="1"/>
  </si>
  <si>
    <t>· Provide delay service</t>
    <phoneticPr fontId="1"/>
  </si>
  <si>
    <t>· Configure normal main cycle</t>
    <phoneticPr fontId="1"/>
  </si>
  <si>
    <t>→ Provide delay timing based on the system time base.</t>
    <phoneticPr fontId="1"/>
  </si>
  <si>
    <t>→ Support a periodic main cycle of 4 ms.</t>
    <phoneticPr fontId="1"/>
  </si>
  <si>
    <t>· Configure high-speed main cycle</t>
    <phoneticPr fontId="1"/>
  </si>
  <si>
    <t>→ Support a periodic main cycle of 1 ms.</t>
    <phoneticPr fontId="1"/>
  </si>
  <si>
    <t>· Generate main cycle trigger</t>
    <phoneticPr fontId="1"/>
  </si>
  <si>
    <t>→ Generate a periodic trigger for main cycle execution.</t>
    <phoneticPr fontId="1"/>
  </si>
  <si>
    <t>· Support run-time cycle period switching</t>
    <phoneticPr fontId="1"/>
  </si>
  <si>
    <t>→ Support switching between 4 ms and 1 ms main cycle periods during operation.</t>
    <phoneticPr fontId="1"/>
  </si>
  <si>
    <t>· Maintain timer operation during cycle switching</t>
    <phoneticPr fontId="1"/>
  </si>
  <si>
    <t>→ Continue timer operation without stopping or resetting the base tick during main cycle period switching.</t>
    <phoneticPr fontId="1"/>
  </si>
  <si>
    <t>· Detect timer overflow</t>
    <phoneticPr fontId="1"/>
  </si>
  <si>
    <t>→ Detect and handle system timer overflow without affecting timing services.</t>
    <phoneticPr fontId="1"/>
  </si>
  <si>
    <t>→ The target frequency shall be configurable.</t>
    <phoneticPr fontId="1"/>
  </si>
  <si>
    <t>→ Verify that the selected clock source has reached a stable operating state before use.</t>
    <phoneticPr fontId="1"/>
  </si>
  <si>
    <t>→ Verify that the PLL/FLL has achieved lock status before it is used as a system clock source.</t>
    <phoneticPr fontId="1"/>
  </si>
  <si>
    <t>→ Switch the system clock source from the default startup clock source to the configured target clock source.</t>
    <phoneticPr fontId="1"/>
  </si>
  <si>
    <r>
      <rPr>
        <sz val="11"/>
        <color theme="1"/>
        <rFont val="Tahoma"/>
        <family val="3"/>
        <charset val="222"/>
      </rPr>
      <t>ตอน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MCU </t>
    </r>
    <r>
      <rPr>
        <sz val="11"/>
        <color theme="1"/>
        <rFont val="Tahoma"/>
        <family val="3"/>
        <charset val="222"/>
      </rPr>
      <t>เริ่มต้น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Tahoma"/>
        <family val="3"/>
        <charset val="222"/>
      </rPr>
      <t>อาจใช้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default</t>
    </r>
    <r>
      <rPr>
        <sz val="11"/>
        <color theme="1"/>
        <rFont val="Tahoma"/>
        <family val="3"/>
        <charset val="222"/>
      </rPr>
      <t xml:space="preserve"> clock ก่อน หลังจากตั้งค่า Clock เสร็จ</t>
    </r>
    <r>
      <rPr>
        <sz val="11"/>
        <color theme="1"/>
        <rFont val="Tahoma"/>
        <family val="3"/>
        <charset val="1"/>
      </rPr>
      <t xml:space="preserve"> </t>
    </r>
    <r>
      <rPr>
        <sz val="11"/>
        <color theme="1"/>
        <rFont val="Tahoma"/>
        <family val="3"/>
        <charset val="222"/>
      </rPr>
      <t>เปลี่ยนไปใช้ Clock ที่ต้องการจริง</t>
    </r>
    <phoneticPr fontId="1"/>
  </si>
  <si>
    <r>
      <rPr>
        <sz val="11"/>
        <color theme="1"/>
        <rFont val="Tahoma"/>
        <family val="3"/>
        <charset val="222"/>
      </rPr>
      <t>หลังสั่งเปลี่ยน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Clock </t>
    </r>
    <r>
      <rPr>
        <sz val="11"/>
        <color theme="1"/>
        <rFont val="Tahoma"/>
        <family val="3"/>
        <charset val="222"/>
      </rPr>
      <t>ต้องอ่านสถานะกลับมาตรวจสอบว่าเปลี่ยนสำเร็จจริงไหม</t>
    </r>
    <phoneticPr fontId="1"/>
  </si>
  <si>
    <t>→ Restore and verify the required clock configuration after wake-up from low-power mode if required.</t>
    <phoneticPr fontId="1"/>
  </si>
  <si>
    <r>
      <rPr>
        <sz val="11"/>
        <color theme="1"/>
        <rFont val="Tahoma"/>
        <family val="3"/>
        <charset val="222"/>
      </rPr>
      <t xml:space="preserve">หลังจากกลับมาจาก </t>
    </r>
    <r>
      <rPr>
        <sz val="11"/>
        <color theme="1"/>
        <rFont val="Meiryo UI"/>
        <family val="3"/>
        <charset val="128"/>
      </rPr>
      <t xml:space="preserve">low power </t>
    </r>
    <r>
      <rPr>
        <sz val="11"/>
        <color theme="1"/>
        <rFont val="Tahoma"/>
        <family val="3"/>
        <charset val="222"/>
      </rPr>
      <t xml:space="preserve">ให้ </t>
    </r>
    <r>
      <rPr>
        <sz val="11"/>
        <color theme="1"/>
        <rFont val="Meiryo UI"/>
        <family val="3"/>
        <charset val="128"/>
      </rPr>
      <t xml:space="preserve">Restore , verify </t>
    </r>
    <r>
      <rPr>
        <sz val="11"/>
        <color theme="1"/>
        <rFont val="Calibri"/>
        <family val="3"/>
      </rPr>
      <t xml:space="preserve">clock configuration </t>
    </r>
    <r>
      <rPr>
        <sz val="11"/>
        <color theme="1"/>
        <rFont val="Tahoma"/>
        <family val="3"/>
        <charset val="222"/>
      </rPr>
      <t>อีกรอบ</t>
    </r>
    <phoneticPr fontId="1"/>
  </si>
  <si>
    <t>· Restore clock after low-power wake-up</t>
    <phoneticPr fontId="1"/>
  </si>
  <si>
    <t>· Verify PLL/FLL lock status</t>
    <phoneticPr fontId="1"/>
  </si>
  <si>
    <t>→ Supported clock sources shall include IMO and external crystal oscillator if available.</t>
    <phoneticPr fontId="1"/>
  </si>
  <si>
    <t>ต้อง Initialize Clock ก่อนเริ่ม Normal Application</t>
    <phoneticPr fontId="1"/>
  </si>
  <si>
    <r>
      <t xml:space="preserve">Clock Source </t>
    </r>
    <r>
      <rPr>
        <sz val="11"/>
        <color theme="1"/>
        <rFont val="Tahoma"/>
        <family val="3"/>
        <charset val="222"/>
      </rPr>
      <t>ที่ต้องรองรับอย่างน้อยคือ</t>
    </r>
    <r>
      <rPr>
        <sz val="11"/>
        <color theme="1"/>
        <rFont val="Meiryo UI"/>
        <family val="3"/>
        <charset val="128"/>
      </rPr>
      <t xml:space="preserve"> IMO </t>
    </r>
    <r>
      <rPr>
        <sz val="11"/>
        <color theme="1"/>
        <rFont val="Tahoma"/>
        <family val="3"/>
        <charset val="222"/>
      </rPr>
      <t>กับ External Crystal Oscillator</t>
    </r>
    <phoneticPr fontId="1"/>
  </si>
  <si>
    <t>ไม่กำหนด Clock Source แบบตายตัวในโค้ด จะต้องเลือก System Clock จาก Configuration Table</t>
    <phoneticPr fontId="1"/>
  </si>
  <si>
    <r>
      <rPr>
        <sz val="11"/>
        <color theme="1"/>
        <rFont val="Tahoma"/>
        <family val="3"/>
        <charset val="222"/>
      </rPr>
      <t xml:space="preserve">ตรวจสอบสัญญาณ </t>
    </r>
    <r>
      <rPr>
        <sz val="11"/>
        <color theme="1"/>
        <rFont val="Meiryo UI"/>
        <family val="3"/>
        <charset val="128"/>
      </rPr>
      <t xml:space="preserve">clock </t>
    </r>
    <r>
      <rPr>
        <sz val="11"/>
        <color theme="1"/>
        <rFont val="Tahoma"/>
        <family val="3"/>
        <charset val="222"/>
      </rPr>
      <t>ให้นิ่งก่อนนำมาใช้งาน</t>
    </r>
    <phoneticPr fontId="1"/>
  </si>
  <si>
    <t>· Verify clock source stability</t>
    <phoneticPr fontId="1"/>
  </si>
  <si>
    <r>
      <rPr>
        <sz val="11"/>
        <color theme="1"/>
        <rFont val="Tahoma"/>
        <family val="3"/>
        <charset val="222"/>
      </rPr>
      <t>ต้องตรวจสอบว่า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PLL/FLL Lock</t>
    </r>
    <r>
      <rPr>
        <sz val="11"/>
        <color theme="1"/>
        <rFont val="Tahoma"/>
        <family val="3"/>
        <charset val="222"/>
      </rPr>
      <t xml:space="preserve"> ก่อนที่จะใช้เป็น System Clock Source</t>
    </r>
    <phoneticPr fontId="1"/>
  </si>
  <si>
    <r>
      <t xml:space="preserve">PLL/FLL </t>
    </r>
    <r>
      <rPr>
        <sz val="11"/>
        <color theme="1"/>
        <rFont val="Tahoma"/>
        <family val="3"/>
        <charset val="222"/>
      </rPr>
      <t>ปรับหรือคูณความถี่</t>
    </r>
    <phoneticPr fontId="1"/>
  </si>
  <si>
    <r>
      <rPr>
        <sz val="11"/>
        <color theme="1"/>
        <rFont val="Tahoma"/>
        <family val="3"/>
        <charset val="222"/>
      </rPr>
      <t>ต้อง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Initialize timer </t>
    </r>
    <r>
      <rPr>
        <sz val="11"/>
        <color theme="1"/>
        <rFont val="Tahoma"/>
        <family val="3"/>
        <charset val="222"/>
      </rPr>
      <t>ก่อนเริ่ม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Normal Application</t>
    </r>
    <phoneticPr fontId="1"/>
  </si>
  <si>
    <t>ต้องสามารถวัดได้ว่าหมดเวลาที่กำหนดหรือยัง</t>
    <phoneticPr fontId="1"/>
  </si>
  <si>
    <r>
      <t xml:space="preserve">สร้างสัญญาณ trigger หรือ </t>
    </r>
    <r>
      <rPr>
        <sz val="11"/>
        <color theme="1"/>
        <rFont val="游ゴシック"/>
        <family val="3"/>
        <charset val="128"/>
      </rPr>
      <t xml:space="preserve">flg </t>
    </r>
    <r>
      <rPr>
        <sz val="11"/>
        <color theme="1"/>
        <rFont val="Tahoma"/>
        <family val="3"/>
        <charset val="222"/>
      </rPr>
      <t xml:space="preserve">เพื่อสั่งให้ </t>
    </r>
    <r>
      <rPr>
        <sz val="11"/>
        <color theme="1"/>
        <rFont val="游ゴシック"/>
        <family val="3"/>
        <charset val="128"/>
      </rPr>
      <t xml:space="preserve">main cycle </t>
    </r>
    <r>
      <rPr>
        <sz val="11"/>
        <color theme="1"/>
        <rFont val="Tahoma"/>
        <family val="3"/>
        <charset val="222"/>
      </rPr>
      <t>ทำงาน</t>
    </r>
    <phoneticPr fontId="1"/>
  </si>
  <si>
    <r>
      <rPr>
        <sz val="11"/>
        <color theme="1"/>
        <rFont val="Tahoma"/>
        <family val="3"/>
        <charset val="222"/>
      </rPr>
      <t xml:space="preserve">สามารถ </t>
    </r>
    <r>
      <rPr>
        <sz val="11"/>
        <color theme="1"/>
        <rFont val="Meiryo UI"/>
        <family val="3"/>
        <charset val="128"/>
      </rPr>
      <t xml:space="preserve">detect </t>
    </r>
    <r>
      <rPr>
        <sz val="11"/>
        <color theme="1"/>
        <rFont val="Tahoma"/>
        <family val="3"/>
        <charset val="222"/>
      </rPr>
      <t xml:space="preserve">ได้ว่า </t>
    </r>
    <r>
      <rPr>
        <sz val="11"/>
        <color theme="1"/>
        <rFont val="Calibri"/>
        <family val="3"/>
      </rPr>
      <t>system timer overflow</t>
    </r>
    <r>
      <rPr>
        <sz val="11"/>
        <color theme="1"/>
        <rFont val="Tahoma"/>
        <family val="3"/>
        <charset val="222"/>
      </rPr>
      <t xml:space="preserve"> แล้วก็ไม่กระทบกับการทำงานของเวลา กรณีวนกลับมา </t>
    </r>
    <r>
      <rPr>
        <sz val="11"/>
        <color theme="1"/>
        <rFont val="Meiryo UI"/>
        <family val="3"/>
        <charset val="128"/>
      </rPr>
      <t xml:space="preserve">0 </t>
    </r>
    <r>
      <rPr>
        <sz val="11"/>
        <color theme="1"/>
        <rFont val="Tahoma"/>
        <family val="3"/>
        <charset val="222"/>
      </rPr>
      <t>ใหม่</t>
    </r>
    <phoneticPr fontId="1"/>
  </si>
  <si>
    <r>
      <rPr>
        <sz val="11"/>
        <color theme="1"/>
        <rFont val="Tahoma"/>
        <family val="3"/>
        <charset val="222"/>
      </rPr>
      <t>แปลง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 xml:space="preserve">System Clock </t>
    </r>
    <r>
      <rPr>
        <sz val="11"/>
        <color theme="1"/>
        <rFont val="Tahoma"/>
        <family val="3"/>
        <charset val="222"/>
      </rPr>
      <t>เป็น</t>
    </r>
    <r>
      <rPr>
        <sz val="11"/>
        <color theme="1"/>
        <rFont val="Calibri"/>
        <family val="3"/>
        <charset val="222"/>
      </rPr>
      <t xml:space="preserve"> </t>
    </r>
    <r>
      <rPr>
        <sz val="11"/>
        <color theme="1"/>
        <rFont val="Calibri"/>
        <family val="3"/>
      </rPr>
      <t>1 ms tick</t>
    </r>
    <phoneticPr fontId="1"/>
  </si>
  <si>
    <t>· Switch system clock source</t>
    <phoneticPr fontId="1"/>
  </si>
  <si>
    <r>
      <rPr>
        <sz val="11"/>
        <color rgb="FFFF0000"/>
        <rFont val="Tahoma"/>
        <family val="3"/>
        <charset val="222"/>
      </rPr>
      <t>ระบบต้องตั้งค่าความถี่ของ</t>
    </r>
    <r>
      <rPr>
        <sz val="11"/>
        <color rgb="FFFF0000"/>
        <rFont val="Calibri"/>
        <family val="3"/>
        <charset val="222"/>
      </rPr>
      <t xml:space="preserve"> </t>
    </r>
    <r>
      <rPr>
        <sz val="11"/>
        <color rgb="FFFF0000"/>
        <rFont val="Calibri"/>
        <family val="3"/>
      </rPr>
      <t xml:space="preserve">System Clock </t>
    </r>
    <r>
      <rPr>
        <sz val="11"/>
        <color rgb="FFFF0000"/>
        <rFont val="Tahoma"/>
        <family val="3"/>
        <charset val="222"/>
      </rPr>
      <t>ตาม</t>
    </r>
    <r>
      <rPr>
        <sz val="11"/>
        <color rgb="FFFF0000"/>
        <rFont val="Calibri"/>
        <family val="3"/>
        <charset val="222"/>
      </rPr>
      <t xml:space="preserve"> </t>
    </r>
    <r>
      <rPr>
        <sz val="11"/>
        <color rgb="FFFF0000"/>
        <rFont val="Calibri"/>
        <family val="3"/>
      </rPr>
      <t>Configuration</t>
    </r>
    <phoneticPr fontId="1"/>
  </si>
  <si>
    <r>
      <rPr>
        <sz val="11"/>
        <color rgb="FFFF0000"/>
        <rFont val="Tahoma"/>
        <family val="3"/>
        <charset val="222"/>
      </rPr>
      <t>ค่า</t>
    </r>
    <r>
      <rPr>
        <sz val="11"/>
        <color rgb="FFFF0000"/>
        <rFont val="Calibri"/>
        <family val="3"/>
        <charset val="222"/>
      </rPr>
      <t xml:space="preserve"> </t>
    </r>
    <r>
      <rPr>
        <sz val="11"/>
        <color rgb="FFFF0000"/>
        <rFont val="Calibri"/>
        <family val="3"/>
      </rPr>
      <t xml:space="preserve">Target Frequency </t>
    </r>
    <r>
      <rPr>
        <sz val="11"/>
        <color rgb="FFFF0000"/>
        <rFont val="Tahoma"/>
        <family val="3"/>
        <charset val="222"/>
      </rPr>
      <t>ต้องสามารถเลือกเองได้</t>
    </r>
    <phoneticPr fontId="1"/>
  </si>
  <si>
    <r>
      <rPr>
        <sz val="11"/>
        <color rgb="FFFF0000"/>
        <rFont val="Tahoma"/>
        <family val="3"/>
        <charset val="222"/>
      </rPr>
      <t>สร้าง</t>
    </r>
    <r>
      <rPr>
        <sz val="11"/>
        <color rgb="FFFF0000"/>
        <rFont val="Calibri"/>
        <family val="3"/>
        <charset val="222"/>
      </rPr>
      <t xml:space="preserve"> </t>
    </r>
    <r>
      <rPr>
        <sz val="11"/>
        <color rgb="FFFF0000"/>
        <rFont val="Calibri"/>
        <family val="3"/>
      </rPr>
      <t xml:space="preserve">base tick </t>
    </r>
    <r>
      <rPr>
        <sz val="11"/>
        <color rgb="FFFF0000"/>
        <rFont val="Tahoma"/>
        <family val="3"/>
        <charset val="222"/>
      </rPr>
      <t>ทุก</t>
    </r>
    <r>
      <rPr>
        <sz val="11"/>
        <color rgb="FFFF0000"/>
        <rFont val="Calibri"/>
        <family val="3"/>
        <charset val="222"/>
      </rPr>
      <t xml:space="preserve"> </t>
    </r>
    <r>
      <rPr>
        <sz val="11"/>
        <color rgb="FFFF0000"/>
        <rFont val="Tahoma"/>
        <family val="3"/>
        <charset val="222"/>
      </rPr>
      <t>ๆ</t>
    </r>
    <r>
      <rPr>
        <sz val="11"/>
        <color rgb="FFFF0000"/>
        <rFont val="Calibri"/>
        <family val="3"/>
        <charset val="222"/>
      </rPr>
      <t xml:space="preserve"> </t>
    </r>
    <r>
      <rPr>
        <sz val="11"/>
        <color rgb="FFFF0000"/>
        <rFont val="Calibri"/>
        <family val="3"/>
      </rPr>
      <t xml:space="preserve">1 ms </t>
    </r>
    <r>
      <rPr>
        <sz val="11"/>
        <color rgb="FFFF0000"/>
        <rFont val="Tahoma"/>
        <family val="3"/>
        <charset val="222"/>
      </rPr>
      <t>เพื่อใช้เป็นฐานเวลาของ</t>
    </r>
    <r>
      <rPr>
        <sz val="11"/>
        <color rgb="FFFF0000"/>
        <rFont val="Calibri"/>
        <family val="3"/>
        <charset val="222"/>
      </rPr>
      <t xml:space="preserve"> </t>
    </r>
    <r>
      <rPr>
        <sz val="11"/>
        <color rgb="FFFF0000"/>
        <rFont val="Calibri"/>
        <family val="3"/>
      </rPr>
      <t>Software</t>
    </r>
    <phoneticPr fontId="1"/>
  </si>
  <si>
    <r>
      <rPr>
        <sz val="11"/>
        <color theme="1"/>
        <rFont val="Tahoma"/>
        <family val="3"/>
        <charset val="222"/>
      </rPr>
      <t xml:space="preserve">รัน </t>
    </r>
    <r>
      <rPr>
        <sz val="11"/>
        <color rgb="FFFF0000"/>
        <rFont val="Meiryo UI"/>
        <family val="3"/>
        <charset val="128"/>
      </rPr>
      <t>main cycle</t>
    </r>
    <r>
      <rPr>
        <sz val="11"/>
        <color theme="1"/>
        <rFont val="Meiryo UI"/>
        <family val="3"/>
        <charset val="128"/>
      </rPr>
      <t xml:space="preserve">  </t>
    </r>
    <r>
      <rPr>
        <sz val="11"/>
        <color theme="1"/>
        <rFont val="Tahoma"/>
        <family val="3"/>
        <charset val="222"/>
      </rPr>
      <t xml:space="preserve">ทุกๆ </t>
    </r>
    <r>
      <rPr>
        <sz val="11"/>
        <color theme="1"/>
        <rFont val="Meiryo UI"/>
        <family val="3"/>
        <charset val="128"/>
      </rPr>
      <t>4 ms.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</si>
</sst>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trike/>
      <sz val="11"/>
      <color theme="1"/>
      <name val="Yu Gothic"/>
      <family val="2"/>
      <scheme val="minor"/>
    </font>
    <font>
      <sz val="11"/>
      <color rgb="FFFF0000"/>
      <name val="Yu Gothic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Yu Gothic"/>
      <family val="2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2"/>
      <color theme="1"/>
      <name val="Calibri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i/>
      <sz val="10"/>
      <color rgb="FF71717A"/>
      <name val="Calibri"/>
      <family val="2"/>
    </font>
    <font>
      <b/>
      <sz val="11"/>
      <color rgb="FF1A7A1A"/>
      <name val="Calibri"/>
      <family val="2"/>
    </font>
    <font>
      <b/>
      <sz val="11"/>
      <color rgb="FFC00000"/>
      <name val="Calibri"/>
      <family val="2"/>
    </font>
    <font>
      <sz val="11"/>
      <color rgb="FFC07000"/>
      <name val="Yu Gothic"/>
      <family val="2"/>
      <scheme val="minor"/>
    </font>
    <font>
      <b/>
      <sz val="11"/>
      <color rgb="FFC07000"/>
      <name val="Calibri"/>
      <family val="2"/>
    </font>
    <font>
      <b/>
      <sz val="11"/>
      <color rgb="FFFFFFFF"/>
      <name val="Calibri"/>
      <family val="2"/>
    </font>
    <font>
      <b/>
      <sz val="11"/>
      <color rgb="FF276221"/>
      <name val="Calibri"/>
      <family val="2"/>
    </font>
    <font>
      <b/>
      <sz val="11"/>
      <color rgb="FF9C0006"/>
      <name val="Calibri"/>
      <family val="2"/>
    </font>
    <font>
      <b/>
      <sz val="11"/>
      <color rgb="FF9C5700"/>
      <name val="Calibri"/>
      <family val="2"/>
    </font>
    <font>
      <b/>
      <sz val="13"/>
      <color rgb="FF1F3864"/>
      <name val="Calibri"/>
      <family val="2"/>
    </font>
    <font>
      <sz val="11"/>
      <color rgb="FF7030A0"/>
      <name val="Calibri"/>
      <family val="2"/>
    </font>
    <font>
      <b/>
      <sz val="11"/>
      <color rgb="FF1F3864"/>
      <name val="Calibri"/>
      <family val="2"/>
    </font>
    <font>
      <b/>
      <sz val="11"/>
      <color rgb="FF7030A0"/>
      <name val="Calibri"/>
      <family val="2"/>
    </font>
    <font>
      <sz val="11"/>
      <color rgb="FF808080"/>
      <name val="Calibri"/>
      <family val="2"/>
    </font>
    <font>
      <sz val="11"/>
      <color rgb="FF808080"/>
      <name val="Yu Gothic"/>
      <family val="2"/>
      <scheme val="minor"/>
    </font>
    <font>
      <sz val="11"/>
      <color rgb="FF7030A0"/>
      <name val="Yu Gothic"/>
      <family val="2"/>
      <scheme val="minor"/>
    </font>
    <font>
      <b/>
      <sz val="11"/>
      <color rgb="FF7030A0"/>
      <name val="Yu Gothic"/>
      <family val="2"/>
      <scheme val="minor"/>
    </font>
    <font>
      <b/>
      <sz val="14"/>
      <color rgb="FF1F3864"/>
      <name val="Calibri"/>
      <family val="2"/>
    </font>
    <font>
      <sz val="11"/>
      <color rgb="FF0070C0"/>
      <name val="Calibri"/>
      <family val="2"/>
    </font>
    <font>
      <sz val="11"/>
      <color rgb="FF595959"/>
      <name val="Calibri"/>
      <family val="2"/>
    </font>
    <font>
      <b/>
      <sz val="11"/>
      <color rgb="FF595959"/>
      <name val="Calibri"/>
      <family val="2"/>
    </font>
    <font>
      <b/>
      <sz val="12"/>
      <color rgb="FF1F3864"/>
      <name val="Calibri"/>
      <family val="2"/>
    </font>
    <font>
      <i/>
      <sz val="11"/>
      <color rgb="FF595959"/>
      <name val="Calibri"/>
      <family val="2"/>
    </font>
    <font>
      <strike/>
      <sz val="11"/>
      <color theme="1"/>
      <name val="Meiryo UI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FF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rgb="FFFF0000"/>
      <name val="Tahoma"/>
      <family val="3"/>
      <charset val="222"/>
    </font>
    <font>
      <b/>
      <sz val="11"/>
      <color rgb="FFFF0000"/>
      <name val="Meiryo UI"/>
      <family val="3"/>
      <charset val="128"/>
    </font>
    <font>
      <sz val="11"/>
      <color theme="1"/>
      <name val="Tahoma"/>
      <family val="3"/>
      <charset val="222"/>
    </font>
    <font>
      <sz val="11"/>
      <color theme="1"/>
      <name val="Calibri"/>
      <family val="3"/>
      <charset val="222"/>
    </font>
    <font>
      <sz val="11"/>
      <color theme="1"/>
      <name val="Calibri"/>
      <family val="3"/>
    </font>
    <font>
      <sz val="11"/>
      <color theme="1"/>
      <name val="Meiryo UI"/>
      <family val="3"/>
      <charset val="222"/>
    </font>
    <font>
      <sz val="11"/>
      <color theme="1"/>
      <name val="Tahoma"/>
      <family val="3"/>
      <charset val="1"/>
    </font>
    <font>
      <sz val="11"/>
      <color theme="1"/>
      <name val="游ゴシック"/>
      <family val="3"/>
      <charset val="128"/>
    </font>
    <font>
      <sz val="11"/>
      <color rgb="FFFF0000"/>
      <name val="Meiryo UI"/>
      <family val="3"/>
      <charset val="222"/>
    </font>
    <font>
      <sz val="11"/>
      <color rgb="FFFF0000"/>
      <name val="Calibri"/>
      <family val="3"/>
      <charset val="222"/>
    </font>
    <font>
      <sz val="11"/>
      <color rgb="FFFF0000"/>
      <name val="Calibri"/>
      <family val="3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5F0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EFFFFA"/>
        <bgColor indexed="64"/>
      </patternFill>
    </fill>
    <fill>
      <patternFill patternType="solid">
        <fgColor rgb="FFFFF8EE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FDF0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CEEF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vertical="top" wrapText="1"/>
    </xf>
    <xf numFmtId="0" fontId="12" fillId="0" borderId="0" xfId="0" applyFont="1"/>
    <xf numFmtId="0" fontId="13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4" fillId="3" borderId="4" xfId="0" applyFont="1" applyFill="1" applyBorder="1" applyAlignment="1">
      <alignment horizontal="center" vertical="top"/>
    </xf>
    <xf numFmtId="0" fontId="14" fillId="3" borderId="4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vertical="top"/>
    </xf>
    <xf numFmtId="0" fontId="12" fillId="0" borderId="4" xfId="0" applyFont="1" applyBorder="1" applyAlignment="1">
      <alignment vertical="top" wrapText="1"/>
    </xf>
    <xf numFmtId="0" fontId="14" fillId="8" borderId="5" xfId="0" applyFont="1" applyFill="1" applyBorder="1" applyAlignment="1">
      <alignment vertical="top"/>
    </xf>
    <xf numFmtId="0" fontId="12" fillId="8" borderId="3" xfId="0" applyFont="1" applyFill="1" applyBorder="1" applyAlignment="1">
      <alignment vertical="top" wrapText="1"/>
    </xf>
    <xf numFmtId="0" fontId="12" fillId="8" borderId="6" xfId="0" applyFont="1" applyFill="1" applyBorder="1" applyAlignment="1">
      <alignment vertical="top" wrapText="1"/>
    </xf>
    <xf numFmtId="0" fontId="14" fillId="5" borderId="5" xfId="0" applyFont="1" applyFill="1" applyBorder="1" applyAlignment="1">
      <alignment vertical="top"/>
    </xf>
    <xf numFmtId="0" fontId="14" fillId="5" borderId="3" xfId="0" applyFont="1" applyFill="1" applyBorder="1" applyAlignment="1">
      <alignment vertical="top"/>
    </xf>
    <xf numFmtId="0" fontId="14" fillId="5" borderId="6" xfId="0" applyFont="1" applyFill="1" applyBorder="1" applyAlignment="1">
      <alignment vertical="top"/>
    </xf>
    <xf numFmtId="0" fontId="14" fillId="9" borderId="5" xfId="0" applyFont="1" applyFill="1" applyBorder="1" applyAlignment="1">
      <alignment vertical="top"/>
    </xf>
    <xf numFmtId="0" fontId="12" fillId="9" borderId="3" xfId="0" applyFont="1" applyFill="1" applyBorder="1" applyAlignment="1">
      <alignment vertical="top" wrapText="1"/>
    </xf>
    <xf numFmtId="0" fontId="12" fillId="9" borderId="6" xfId="0" applyFont="1" applyFill="1" applyBorder="1" applyAlignment="1">
      <alignment vertical="top" wrapText="1"/>
    </xf>
    <xf numFmtId="0" fontId="14" fillId="6" borderId="5" xfId="0" applyFont="1" applyFill="1" applyBorder="1" applyAlignment="1">
      <alignment vertical="top"/>
    </xf>
    <xf numFmtId="0" fontId="14" fillId="6" borderId="3" xfId="0" applyFont="1" applyFill="1" applyBorder="1" applyAlignment="1">
      <alignment vertical="top"/>
    </xf>
    <xf numFmtId="0" fontId="14" fillId="6" borderId="6" xfId="0" applyFont="1" applyFill="1" applyBorder="1" applyAlignment="1">
      <alignment vertical="top"/>
    </xf>
    <xf numFmtId="0" fontId="15" fillId="2" borderId="4" xfId="0" applyFont="1" applyFill="1" applyBorder="1" applyAlignment="1">
      <alignment vertical="top" wrapText="1"/>
    </xf>
    <xf numFmtId="0" fontId="7" fillId="7" borderId="4" xfId="0" applyFont="1" applyFill="1" applyBorder="1" applyAlignment="1">
      <alignment vertical="top" wrapText="1"/>
    </xf>
    <xf numFmtId="0" fontId="0" fillId="7" borderId="4" xfId="0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6" fillId="10" borderId="5" xfId="0" applyFont="1" applyFill="1" applyBorder="1" applyAlignment="1">
      <alignment vertical="top"/>
    </xf>
    <xf numFmtId="0" fontId="12" fillId="10" borderId="3" xfId="0" applyFont="1" applyFill="1" applyBorder="1" applyAlignment="1">
      <alignment vertical="top" wrapText="1"/>
    </xf>
    <xf numFmtId="0" fontId="12" fillId="10" borderId="6" xfId="0" applyFont="1" applyFill="1" applyBorder="1" applyAlignment="1">
      <alignment vertical="top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11" borderId="0" xfId="0" applyFont="1" applyFill="1" applyAlignment="1">
      <alignment vertical="top" wrapText="1"/>
    </xf>
    <xf numFmtId="0" fontId="21" fillId="11" borderId="0" xfId="0" applyFont="1" applyFill="1" applyAlignment="1">
      <alignment horizontal="center" vertical="top" wrapText="1"/>
    </xf>
    <xf numFmtId="0" fontId="7" fillId="0" borderId="1" xfId="0" applyFont="1" applyBorder="1"/>
    <xf numFmtId="0" fontId="20" fillId="0" borderId="1" xfId="0" applyFont="1" applyBorder="1"/>
    <xf numFmtId="0" fontId="0" fillId="0" borderId="1" xfId="0" applyBorder="1"/>
    <xf numFmtId="0" fontId="7" fillId="12" borderId="0" xfId="0" applyFont="1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7" fillId="13" borderId="0" xfId="0" applyFont="1" applyFill="1" applyAlignment="1">
      <alignment vertical="top" wrapText="1"/>
    </xf>
    <xf numFmtId="0" fontId="6" fillId="13" borderId="0" xfId="0" applyFont="1" applyFill="1" applyAlignment="1">
      <alignment vertical="top" wrapText="1"/>
    </xf>
    <xf numFmtId="0" fontId="7" fillId="14" borderId="0" xfId="0" applyFont="1" applyFill="1" applyAlignment="1">
      <alignment vertical="top" wrapText="1"/>
    </xf>
    <xf numFmtId="0" fontId="6" fillId="14" borderId="0" xfId="0" applyFont="1" applyFill="1" applyAlignment="1">
      <alignment vertical="top" wrapText="1"/>
    </xf>
    <xf numFmtId="0" fontId="7" fillId="15" borderId="0" xfId="0" applyFont="1" applyFill="1" applyAlignment="1">
      <alignment vertical="top" wrapText="1"/>
    </xf>
    <xf numFmtId="0" fontId="6" fillId="15" borderId="0" xfId="0" applyFont="1" applyFill="1" applyAlignment="1">
      <alignment vertical="top" wrapText="1"/>
    </xf>
    <xf numFmtId="0" fontId="7" fillId="16" borderId="0" xfId="0" applyFont="1" applyFill="1" applyAlignment="1">
      <alignment vertical="top" wrapText="1"/>
    </xf>
    <xf numFmtId="0" fontId="6" fillId="16" borderId="0" xfId="0" applyFont="1" applyFill="1" applyAlignment="1">
      <alignment vertical="top" wrapText="1"/>
    </xf>
    <xf numFmtId="0" fontId="22" fillId="17" borderId="0" xfId="0" applyFont="1" applyFill="1" applyAlignment="1">
      <alignment vertical="top" wrapText="1"/>
    </xf>
    <xf numFmtId="0" fontId="23" fillId="18" borderId="0" xfId="0" applyFont="1" applyFill="1" applyAlignment="1">
      <alignment vertical="top" wrapText="1"/>
    </xf>
    <xf numFmtId="0" fontId="24" fillId="19" borderId="0" xfId="0" applyFont="1" applyFill="1" applyAlignment="1">
      <alignment vertical="top" wrapText="1"/>
    </xf>
    <xf numFmtId="0" fontId="7" fillId="20" borderId="0" xfId="0" applyFont="1" applyFill="1" applyAlignment="1">
      <alignment vertical="top" wrapText="1"/>
    </xf>
    <xf numFmtId="0" fontId="6" fillId="20" borderId="0" xfId="0" applyFont="1" applyFill="1" applyAlignment="1">
      <alignment vertical="top" wrapText="1"/>
    </xf>
    <xf numFmtId="0" fontId="7" fillId="21" borderId="0" xfId="0" applyFont="1" applyFill="1" applyAlignment="1">
      <alignment vertical="top" wrapText="1"/>
    </xf>
    <xf numFmtId="0" fontId="6" fillId="21" borderId="0" xfId="0" applyFont="1" applyFill="1" applyAlignment="1">
      <alignment vertical="top" wrapText="1"/>
    </xf>
    <xf numFmtId="0" fontId="7" fillId="22" borderId="0" xfId="0" applyFont="1" applyFill="1" applyAlignment="1">
      <alignment vertical="top" wrapText="1"/>
    </xf>
    <xf numFmtId="0" fontId="6" fillId="22" borderId="0" xfId="0" applyFont="1" applyFill="1" applyAlignment="1">
      <alignment vertical="top" wrapText="1"/>
    </xf>
    <xf numFmtId="0" fontId="7" fillId="23" borderId="0" xfId="0" applyFont="1" applyFill="1" applyAlignment="1">
      <alignment vertical="top" wrapText="1"/>
    </xf>
    <xf numFmtId="0" fontId="6" fillId="23" borderId="0" xfId="0" applyFont="1" applyFill="1" applyAlignment="1">
      <alignment vertical="top" wrapText="1"/>
    </xf>
    <xf numFmtId="0" fontId="25" fillId="0" borderId="0" xfId="0" applyFont="1"/>
    <xf numFmtId="0" fontId="26" fillId="0" borderId="0" xfId="0" applyFont="1"/>
    <xf numFmtId="0" fontId="0" fillId="24" borderId="0" xfId="0" applyFill="1" applyAlignment="1">
      <alignment vertical="top" wrapText="1"/>
    </xf>
    <xf numFmtId="0" fontId="6" fillId="25" borderId="0" xfId="0" applyFont="1" applyFill="1" applyAlignment="1">
      <alignment vertical="top" wrapText="1"/>
    </xf>
    <xf numFmtId="0" fontId="6" fillId="26" borderId="0" xfId="0" applyFont="1" applyFill="1" applyAlignment="1">
      <alignment vertical="top" wrapText="1"/>
    </xf>
    <xf numFmtId="0" fontId="26" fillId="25" borderId="0" xfId="0" applyFont="1" applyFill="1" applyAlignment="1">
      <alignment vertical="top" wrapText="1"/>
    </xf>
    <xf numFmtId="0" fontId="28" fillId="25" borderId="0" xfId="0" applyFont="1" applyFill="1" applyAlignment="1">
      <alignment vertical="top" wrapText="1"/>
    </xf>
    <xf numFmtId="0" fontId="26" fillId="26" borderId="0" xfId="0" applyFont="1" applyFill="1" applyAlignment="1">
      <alignment vertical="top" wrapText="1"/>
    </xf>
    <xf numFmtId="0" fontId="28" fillId="26" borderId="0" xfId="0" applyFont="1" applyFill="1" applyAlignment="1">
      <alignment vertical="top" wrapText="1"/>
    </xf>
    <xf numFmtId="0" fontId="7" fillId="25" borderId="0" xfId="0" applyFont="1" applyFill="1" applyAlignment="1">
      <alignment vertical="top" wrapText="1"/>
    </xf>
    <xf numFmtId="0" fontId="7" fillId="26" borderId="0" xfId="0" applyFont="1" applyFill="1" applyAlignment="1">
      <alignment vertical="top" wrapText="1"/>
    </xf>
    <xf numFmtId="0" fontId="29" fillId="25" borderId="0" xfId="0" applyFont="1" applyFill="1" applyAlignment="1">
      <alignment vertical="top" wrapText="1"/>
    </xf>
    <xf numFmtId="0" fontId="29" fillId="26" borderId="0" xfId="0" applyFont="1" applyFill="1" applyAlignment="1">
      <alignment vertical="top" wrapText="1"/>
    </xf>
    <xf numFmtId="0" fontId="30" fillId="24" borderId="0" xfId="0" applyFont="1" applyFill="1" applyAlignment="1">
      <alignment vertical="top" wrapText="1"/>
    </xf>
    <xf numFmtId="0" fontId="31" fillId="0" borderId="0" xfId="0" applyFont="1"/>
    <xf numFmtId="0" fontId="32" fillId="0" borderId="0" xfId="0" applyFont="1"/>
    <xf numFmtId="0" fontId="27" fillId="24" borderId="0" xfId="0" applyFont="1" applyFill="1" applyAlignment="1">
      <alignment vertical="top"/>
    </xf>
    <xf numFmtId="0" fontId="33" fillId="0" borderId="0" xfId="0" applyFont="1"/>
    <xf numFmtId="0" fontId="6" fillId="27" borderId="0" xfId="0" applyFont="1" applyFill="1"/>
    <xf numFmtId="0" fontId="6" fillId="4" borderId="0" xfId="0" applyFont="1" applyFill="1"/>
    <xf numFmtId="0" fontId="6" fillId="6" borderId="0" xfId="0" applyFont="1" applyFill="1"/>
    <xf numFmtId="0" fontId="6" fillId="28" borderId="0" xfId="0" applyFont="1" applyFill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38" fillId="0" borderId="0" xfId="0" applyFont="1"/>
    <xf numFmtId="0" fontId="6" fillId="27" borderId="0" xfId="0" applyFont="1" applyFill="1" applyAlignment="1">
      <alignment vertical="top" wrapText="1"/>
    </xf>
    <xf numFmtId="0" fontId="34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6" fillId="28" borderId="0" xfId="0" applyFont="1" applyFill="1" applyAlignment="1">
      <alignment vertical="top" wrapText="1"/>
    </xf>
    <xf numFmtId="0" fontId="36" fillId="28" borderId="0" xfId="0" applyFont="1" applyFill="1" applyAlignment="1">
      <alignment horizontal="center" vertical="center" wrapText="1"/>
    </xf>
    <xf numFmtId="0" fontId="6" fillId="25" borderId="0" xfId="0" applyFont="1" applyFill="1"/>
    <xf numFmtId="0" fontId="21" fillId="11" borderId="2" xfId="0" applyFont="1" applyFill="1" applyBorder="1"/>
    <xf numFmtId="0" fontId="39" fillId="0" borderId="0" xfId="0" applyFont="1"/>
    <xf numFmtId="0" fontId="10" fillId="31" borderId="0" xfId="0" applyFont="1" applyFill="1"/>
    <xf numFmtId="0" fontId="42" fillId="0" borderId="0" xfId="0" applyFont="1"/>
    <xf numFmtId="0" fontId="42" fillId="31" borderId="0" xfId="0" applyFont="1" applyFill="1"/>
    <xf numFmtId="0" fontId="43" fillId="0" borderId="0" xfId="0" applyFont="1"/>
    <xf numFmtId="0" fontId="45" fillId="0" borderId="0" xfId="0" applyFont="1"/>
    <xf numFmtId="0" fontId="49" fillId="0" borderId="0" xfId="0" applyFont="1"/>
    <xf numFmtId="0" fontId="46" fillId="0" borderId="0" xfId="0" applyFont="1"/>
    <xf numFmtId="0" fontId="49" fillId="2" borderId="0" xfId="0" applyFont="1" applyFill="1"/>
    <xf numFmtId="0" fontId="10" fillId="2" borderId="0" xfId="0" applyFont="1" applyFill="1"/>
    <xf numFmtId="0" fontId="52" fillId="0" borderId="0" xfId="0" applyFont="1"/>
    <xf numFmtId="0" fontId="44" fillId="0" borderId="0" xfId="0" applyFont="1"/>
    <xf numFmtId="0" fontId="27" fillId="29" borderId="0" xfId="0" applyFont="1" applyFill="1" applyAlignment="1">
      <alignment horizontal="center" vertical="center" wrapText="1"/>
    </xf>
    <xf numFmtId="0" fontId="27" fillId="17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7" fillId="3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33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948BD6-858B-4DA9-9E7A-59C0B8BFB40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ad5d347-aedd-4e30-8fb4-662426bd675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104A3-EB3A-47F0-B2AA-64E0D9B7F868}">
  <sheetPr>
    <tabColor theme="7" tint="0.39997558519241921"/>
  </sheetPr>
  <dimension ref="A2:AB106"/>
  <sheetViews>
    <sheetView tabSelected="1" topLeftCell="H42" zoomScale="117" zoomScaleNormal="100" workbookViewId="0">
      <selection activeCell="T55" sqref="T55"/>
    </sheetView>
  </sheetViews>
  <sheetFormatPr defaultColWidth="8.625" defaultRowHeight="15.75"/>
  <cols>
    <col min="1" max="1" width="4.75" style="10" customWidth="1"/>
    <col min="2" max="2" width="4.125" style="10" customWidth="1"/>
    <col min="3" max="16384" width="8.625" style="10"/>
  </cols>
  <sheetData>
    <row r="2" spans="1:14">
      <c r="A2" s="9" t="s">
        <v>1007</v>
      </c>
      <c r="M2" s="107" t="s">
        <v>867</v>
      </c>
      <c r="N2" s="10" t="s">
        <v>868</v>
      </c>
    </row>
    <row r="3" spans="1:14">
      <c r="B3" s="10" t="s">
        <v>48</v>
      </c>
    </row>
    <row r="4" spans="1:14">
      <c r="B4" s="10" t="s">
        <v>49</v>
      </c>
    </row>
    <row r="5" spans="1:14">
      <c r="B5" s="111" t="s">
        <v>1002</v>
      </c>
      <c r="C5" s="110"/>
      <c r="D5" s="110"/>
    </row>
    <row r="6" spans="1:14">
      <c r="B6" s="110"/>
      <c r="C6" s="110" t="s">
        <v>1003</v>
      </c>
      <c r="D6" s="110"/>
    </row>
    <row r="7" spans="1:14">
      <c r="B7" s="110"/>
      <c r="C7" s="110" t="s">
        <v>1006</v>
      </c>
      <c r="D7" s="110" t="s">
        <v>1004</v>
      </c>
    </row>
    <row r="8" spans="1:14">
      <c r="B8" s="110"/>
      <c r="C8" s="110"/>
      <c r="D8" s="110" t="s">
        <v>1005</v>
      </c>
    </row>
    <row r="10" spans="1:14">
      <c r="B10" s="9" t="s">
        <v>50</v>
      </c>
    </row>
    <row r="11" spans="1:14">
      <c r="C11" s="10" t="s">
        <v>51</v>
      </c>
      <c r="I11" s="10" t="s">
        <v>64</v>
      </c>
    </row>
    <row r="12" spans="1:14">
      <c r="C12" s="10" t="s">
        <v>52</v>
      </c>
      <c r="I12" s="10" t="s">
        <v>65</v>
      </c>
    </row>
    <row r="13" spans="1:14">
      <c r="C13" s="10" t="s">
        <v>53</v>
      </c>
      <c r="I13" s="10" t="s">
        <v>66</v>
      </c>
    </row>
    <row r="14" spans="1:14">
      <c r="C14" s="10" t="s">
        <v>54</v>
      </c>
      <c r="I14" s="10" t="s">
        <v>67</v>
      </c>
    </row>
    <row r="15" spans="1:14">
      <c r="C15" s="106" t="s">
        <v>55</v>
      </c>
      <c r="I15" s="106" t="s">
        <v>68</v>
      </c>
    </row>
    <row r="16" spans="1:14">
      <c r="C16" s="106" t="s">
        <v>56</v>
      </c>
      <c r="I16" s="106" t="s">
        <v>69</v>
      </c>
    </row>
    <row r="17" spans="2:16">
      <c r="C17" s="10" t="s">
        <v>57</v>
      </c>
      <c r="I17" s="10" t="s">
        <v>862</v>
      </c>
    </row>
    <row r="18" spans="2:16">
      <c r="C18" s="10" t="s">
        <v>58</v>
      </c>
      <c r="I18" s="10" t="s">
        <v>863</v>
      </c>
    </row>
    <row r="19" spans="2:16">
      <c r="C19" s="106" t="s">
        <v>59</v>
      </c>
      <c r="I19" s="106" t="s">
        <v>70</v>
      </c>
    </row>
    <row r="20" spans="2:16">
      <c r="C20" s="10" t="s">
        <v>865</v>
      </c>
      <c r="I20" s="10" t="s">
        <v>864</v>
      </c>
    </row>
    <row r="21" spans="2:16">
      <c r="C21" s="106" t="s">
        <v>60</v>
      </c>
      <c r="I21" s="106" t="s">
        <v>71</v>
      </c>
    </row>
    <row r="22" spans="2:16">
      <c r="C22" s="106" t="s">
        <v>61</v>
      </c>
      <c r="I22" s="106" t="s">
        <v>72</v>
      </c>
    </row>
    <row r="23" spans="2:16">
      <c r="C23" s="107" t="s">
        <v>62</v>
      </c>
      <c r="D23" s="107"/>
      <c r="E23" s="107"/>
      <c r="F23" s="107"/>
      <c r="G23" s="107"/>
      <c r="H23" s="107"/>
      <c r="I23" s="107" t="s">
        <v>73</v>
      </c>
      <c r="J23" s="107"/>
      <c r="K23" s="107"/>
      <c r="L23" s="107"/>
      <c r="M23" s="107"/>
      <c r="N23" s="107"/>
      <c r="O23" s="107"/>
      <c r="P23" s="107"/>
    </row>
    <row r="24" spans="2:16">
      <c r="C24" s="10" t="s">
        <v>63</v>
      </c>
      <c r="I24" s="10" t="s">
        <v>866</v>
      </c>
    </row>
    <row r="26" spans="2:16">
      <c r="B26" s="9" t="s">
        <v>74</v>
      </c>
      <c r="F26" s="108" t="s">
        <v>942</v>
      </c>
    </row>
    <row r="27" spans="2:16">
      <c r="C27" s="10" t="s">
        <v>75</v>
      </c>
      <c r="I27" s="10" t="s">
        <v>78</v>
      </c>
    </row>
    <row r="28" spans="2:16">
      <c r="C28" s="10" t="s">
        <v>76</v>
      </c>
      <c r="I28" s="10" t="s">
        <v>935</v>
      </c>
    </row>
    <row r="29" spans="2:16">
      <c r="C29" s="108" t="s">
        <v>934</v>
      </c>
      <c r="D29" s="108"/>
      <c r="E29" s="108"/>
      <c r="F29" s="108"/>
      <c r="G29" s="108"/>
      <c r="H29" s="108"/>
      <c r="I29" s="108" t="s">
        <v>936</v>
      </c>
      <c r="J29" s="108"/>
    </row>
    <row r="30" spans="2:16">
      <c r="C30" s="107" t="s">
        <v>77</v>
      </c>
      <c r="D30" s="107"/>
      <c r="E30" s="107"/>
      <c r="F30" s="107"/>
      <c r="G30" s="107"/>
      <c r="H30" s="107"/>
      <c r="I30" s="107" t="s">
        <v>79</v>
      </c>
      <c r="J30" s="107"/>
      <c r="K30" s="107"/>
      <c r="L30" s="107"/>
      <c r="M30" s="107"/>
      <c r="N30" s="107"/>
      <c r="O30" s="107"/>
      <c r="P30" s="107"/>
    </row>
    <row r="31" spans="2:16">
      <c r="C31" s="107" t="s">
        <v>869</v>
      </c>
      <c r="D31" s="107"/>
      <c r="E31" s="107"/>
      <c r="F31" s="107"/>
      <c r="G31" s="107"/>
      <c r="H31" s="107"/>
      <c r="I31" s="107" t="s">
        <v>870</v>
      </c>
      <c r="J31" s="107"/>
      <c r="K31" s="107"/>
      <c r="L31" s="107"/>
      <c r="M31" s="107"/>
      <c r="N31" s="107"/>
      <c r="O31" s="107"/>
      <c r="P31" s="107"/>
    </row>
    <row r="33" spans="2:18">
      <c r="B33" s="9" t="s">
        <v>80</v>
      </c>
    </row>
    <row r="34" spans="2:18">
      <c r="C34" s="109" t="s">
        <v>81</v>
      </c>
      <c r="D34" s="109"/>
      <c r="E34" s="109"/>
      <c r="F34" s="109"/>
      <c r="G34" s="109"/>
      <c r="H34" s="109"/>
      <c r="I34" s="109" t="s">
        <v>84</v>
      </c>
      <c r="J34" s="107"/>
      <c r="K34" s="107"/>
      <c r="L34" s="107"/>
      <c r="M34" s="107"/>
      <c r="N34" s="107"/>
      <c r="O34" s="107"/>
      <c r="P34" s="107"/>
    </row>
    <row r="35" spans="2:18">
      <c r="C35" s="108" t="s">
        <v>82</v>
      </c>
      <c r="D35" s="108"/>
      <c r="E35" s="108"/>
      <c r="F35" s="108"/>
      <c r="G35" s="108"/>
      <c r="H35" s="108"/>
      <c r="I35" s="108" t="s">
        <v>85</v>
      </c>
    </row>
    <row r="36" spans="2:18">
      <c r="C36" s="108" t="s">
        <v>83</v>
      </c>
      <c r="D36" s="108"/>
      <c r="E36" s="108"/>
      <c r="F36" s="108"/>
      <c r="G36" s="108"/>
      <c r="H36" s="108"/>
      <c r="I36" s="108" t="s">
        <v>86</v>
      </c>
    </row>
    <row r="38" spans="2:18">
      <c r="B38" s="9" t="s">
        <v>87</v>
      </c>
    </row>
    <row r="39" spans="2:18">
      <c r="C39" s="108" t="s">
        <v>88</v>
      </c>
      <c r="D39" s="108"/>
      <c r="E39" s="108"/>
      <c r="F39" s="108"/>
      <c r="G39" s="108"/>
      <c r="H39" s="108"/>
      <c r="I39" s="108" t="s">
        <v>84</v>
      </c>
      <c r="R39" s="108"/>
    </row>
    <row r="40" spans="2:18">
      <c r="C40" s="108" t="s">
        <v>89</v>
      </c>
      <c r="D40" s="108"/>
      <c r="E40" s="108"/>
      <c r="F40" s="108"/>
      <c r="G40" s="108"/>
      <c r="H40" s="108"/>
      <c r="I40" s="108" t="s">
        <v>90</v>
      </c>
    </row>
    <row r="42" spans="2:18">
      <c r="B42" s="9" t="s">
        <v>91</v>
      </c>
    </row>
    <row r="43" spans="2:18">
      <c r="C43" s="10" t="s">
        <v>92</v>
      </c>
      <c r="I43" s="10" t="s">
        <v>97</v>
      </c>
    </row>
    <row r="44" spans="2:18">
      <c r="C44" s="10" t="s">
        <v>93</v>
      </c>
      <c r="I44" s="10" t="s">
        <v>1008</v>
      </c>
    </row>
    <row r="45" spans="2:18">
      <c r="C45" s="10" t="s">
        <v>94</v>
      </c>
      <c r="I45" s="10" t="s">
        <v>98</v>
      </c>
    </row>
    <row r="46" spans="2:18">
      <c r="C46" s="10" t="s">
        <v>95</v>
      </c>
      <c r="I46" s="10" t="s">
        <v>99</v>
      </c>
    </row>
    <row r="47" spans="2:18">
      <c r="C47" s="10" t="s">
        <v>96</v>
      </c>
      <c r="I47" s="10" t="s">
        <v>1009</v>
      </c>
    </row>
    <row r="49" spans="2:28">
      <c r="B49" s="9" t="s">
        <v>997</v>
      </c>
    </row>
    <row r="50" spans="2:28">
      <c r="C50" s="10" t="s">
        <v>998</v>
      </c>
      <c r="I50" s="10" t="s">
        <v>999</v>
      </c>
      <c r="U50" s="113" t="s">
        <v>1041</v>
      </c>
    </row>
    <row r="51" spans="2:28">
      <c r="C51" s="10" t="s">
        <v>992</v>
      </c>
      <c r="I51" s="10" t="s">
        <v>993</v>
      </c>
      <c r="U51" s="117" t="s">
        <v>1043</v>
      </c>
    </row>
    <row r="52" spans="2:28">
      <c r="I52" s="10" t="s">
        <v>1040</v>
      </c>
      <c r="U52" s="10" t="s">
        <v>1042</v>
      </c>
    </row>
    <row r="53" spans="2:28">
      <c r="C53" s="10" t="s">
        <v>994</v>
      </c>
      <c r="I53" s="10" t="s">
        <v>995</v>
      </c>
      <c r="U53" s="116" t="s">
        <v>1054</v>
      </c>
      <c r="V53" s="110"/>
      <c r="W53" s="110"/>
      <c r="X53" s="110"/>
      <c r="Y53" s="110"/>
      <c r="Z53" s="110"/>
    </row>
    <row r="54" spans="2:28">
      <c r="I54" s="10" t="s">
        <v>1030</v>
      </c>
      <c r="U54" s="116" t="s">
        <v>1055</v>
      </c>
      <c r="V54" s="110"/>
      <c r="W54" s="110"/>
      <c r="X54" s="110"/>
      <c r="Y54" s="110"/>
      <c r="Z54" s="110"/>
    </row>
    <row r="55" spans="2:28">
      <c r="C55" s="10" t="s">
        <v>1045</v>
      </c>
      <c r="I55" s="10" t="s">
        <v>1031</v>
      </c>
      <c r="U55" s="112" t="s">
        <v>1044</v>
      </c>
    </row>
    <row r="56" spans="2:28">
      <c r="C56" s="10" t="s">
        <v>1039</v>
      </c>
      <c r="I56" s="10" t="s">
        <v>1032</v>
      </c>
      <c r="U56" s="114" t="s">
        <v>1046</v>
      </c>
      <c r="V56" s="115"/>
      <c r="W56" s="115"/>
      <c r="X56" s="115"/>
      <c r="Y56" s="115"/>
      <c r="Z56" s="115"/>
      <c r="AB56" s="10" t="s">
        <v>1047</v>
      </c>
    </row>
    <row r="57" spans="2:28">
      <c r="C57" s="10" t="s">
        <v>1053</v>
      </c>
      <c r="I57" s="10" t="s">
        <v>1033</v>
      </c>
      <c r="U57" s="112" t="s">
        <v>1034</v>
      </c>
    </row>
    <row r="58" spans="2:28">
      <c r="C58" s="10" t="s">
        <v>996</v>
      </c>
      <c r="I58" s="10" t="s">
        <v>1000</v>
      </c>
      <c r="U58" s="112" t="s">
        <v>1035</v>
      </c>
    </row>
    <row r="59" spans="2:28">
      <c r="C59" s="10" t="s">
        <v>1038</v>
      </c>
      <c r="I59" s="10" t="s">
        <v>1036</v>
      </c>
      <c r="U59" s="112" t="s">
        <v>1037</v>
      </c>
    </row>
    <row r="61" spans="2:28">
      <c r="B61" s="9" t="s">
        <v>1001</v>
      </c>
    </row>
    <row r="62" spans="2:28">
      <c r="C62" s="10" t="s">
        <v>1010</v>
      </c>
      <c r="I62" s="10" t="s">
        <v>1011</v>
      </c>
      <c r="U62" s="112" t="s">
        <v>1048</v>
      </c>
    </row>
    <row r="63" spans="2:28">
      <c r="C63" s="10" t="s">
        <v>1012</v>
      </c>
      <c r="I63" s="10" t="s">
        <v>1013</v>
      </c>
      <c r="U63" s="116" t="s">
        <v>1056</v>
      </c>
      <c r="V63" s="110"/>
      <c r="W63" s="110"/>
      <c r="X63" s="110"/>
      <c r="Y63" s="110"/>
      <c r="Z63" s="110"/>
      <c r="AA63" s="112" t="s">
        <v>1052</v>
      </c>
    </row>
    <row r="64" spans="2:28">
      <c r="C64" s="10" t="s">
        <v>1014</v>
      </c>
      <c r="I64" s="10" t="s">
        <v>1015</v>
      </c>
      <c r="U64" s="113" t="s">
        <v>1049</v>
      </c>
    </row>
    <row r="65" spans="2:21">
      <c r="C65" s="107" t="s">
        <v>1016</v>
      </c>
      <c r="D65" s="107"/>
      <c r="E65" s="107"/>
      <c r="F65" s="107"/>
      <c r="G65" s="107"/>
      <c r="H65" s="107"/>
      <c r="I65" s="107" t="s">
        <v>1018</v>
      </c>
      <c r="J65" s="107"/>
      <c r="K65" s="107"/>
      <c r="L65" s="107"/>
      <c r="M65" s="107"/>
      <c r="N65" s="107"/>
      <c r="O65" s="107"/>
      <c r="P65" s="107"/>
    </row>
    <row r="66" spans="2:21">
      <c r="C66" s="10" t="s">
        <v>1017</v>
      </c>
      <c r="I66" s="10" t="s">
        <v>1019</v>
      </c>
      <c r="U66" s="112" t="s">
        <v>1057</v>
      </c>
    </row>
    <row r="67" spans="2:21">
      <c r="C67" s="107" t="s">
        <v>1020</v>
      </c>
      <c r="D67" s="107"/>
      <c r="E67" s="107"/>
      <c r="F67" s="107"/>
      <c r="G67" s="107"/>
      <c r="H67" s="107"/>
      <c r="I67" s="107" t="s">
        <v>1021</v>
      </c>
      <c r="J67" s="107"/>
      <c r="K67" s="107"/>
      <c r="L67" s="107"/>
      <c r="M67" s="107"/>
      <c r="N67" s="107"/>
      <c r="O67" s="107"/>
      <c r="P67" s="107"/>
    </row>
    <row r="68" spans="2:21" ht="18.75">
      <c r="C68" s="10" t="s">
        <v>1022</v>
      </c>
      <c r="I68" s="10" t="s">
        <v>1023</v>
      </c>
      <c r="U68" s="113" t="s">
        <v>1050</v>
      </c>
    </row>
    <row r="69" spans="2:21">
      <c r="C69" s="107" t="s">
        <v>1024</v>
      </c>
      <c r="D69" s="107"/>
      <c r="E69" s="107"/>
      <c r="F69" s="107"/>
      <c r="G69" s="107"/>
      <c r="H69" s="107"/>
      <c r="I69" s="107" t="s">
        <v>1025</v>
      </c>
      <c r="J69" s="107"/>
      <c r="K69" s="107"/>
      <c r="L69" s="107"/>
      <c r="M69" s="107"/>
      <c r="N69" s="107"/>
      <c r="O69" s="107"/>
      <c r="P69" s="107"/>
    </row>
    <row r="70" spans="2:21">
      <c r="C70" s="107" t="s">
        <v>1026</v>
      </c>
      <c r="D70" s="107"/>
      <c r="E70" s="107"/>
      <c r="F70" s="107"/>
      <c r="G70" s="107"/>
      <c r="H70" s="107"/>
      <c r="I70" s="107" t="s">
        <v>1027</v>
      </c>
      <c r="J70" s="107"/>
      <c r="K70" s="107"/>
      <c r="L70" s="107"/>
      <c r="M70" s="107"/>
      <c r="N70" s="107"/>
      <c r="O70" s="107"/>
      <c r="P70" s="107"/>
    </row>
    <row r="71" spans="2:21">
      <c r="C71" s="10" t="s">
        <v>1028</v>
      </c>
      <c r="I71" s="10" t="s">
        <v>1029</v>
      </c>
      <c r="U71" s="112" t="s">
        <v>1051</v>
      </c>
    </row>
    <row r="73" spans="2:21">
      <c r="B73" s="9" t="s">
        <v>100</v>
      </c>
    </row>
    <row r="74" spans="2:21">
      <c r="C74" s="10" t="s">
        <v>962</v>
      </c>
      <c r="I74" s="10" t="s">
        <v>963</v>
      </c>
    </row>
    <row r="75" spans="2:21">
      <c r="C75" s="10" t="s">
        <v>964</v>
      </c>
      <c r="I75" s="10" t="s">
        <v>965</v>
      </c>
    </row>
    <row r="76" spans="2:21">
      <c r="I76" s="10" t="s">
        <v>966</v>
      </c>
    </row>
    <row r="77" spans="2:21">
      <c r="C77" s="10" t="s">
        <v>967</v>
      </c>
      <c r="I77" s="10" t="s">
        <v>968</v>
      </c>
    </row>
    <row r="78" spans="2:21">
      <c r="C78" s="10" t="s">
        <v>969</v>
      </c>
      <c r="I78" s="10" t="s">
        <v>970</v>
      </c>
    </row>
    <row r="79" spans="2:21">
      <c r="C79" s="10" t="s">
        <v>972</v>
      </c>
      <c r="I79" s="10" t="s">
        <v>971</v>
      </c>
    </row>
    <row r="80" spans="2:21">
      <c r="I80" s="10" t="s">
        <v>973</v>
      </c>
    </row>
    <row r="81" spans="2:9">
      <c r="C81" s="10" t="s">
        <v>974</v>
      </c>
      <c r="I81" s="10" t="s">
        <v>975</v>
      </c>
    </row>
    <row r="82" spans="2:9">
      <c r="I82" s="10" t="s">
        <v>976</v>
      </c>
    </row>
    <row r="83" spans="2:9">
      <c r="C83" s="10" t="s">
        <v>977</v>
      </c>
      <c r="I83" s="10" t="s">
        <v>978</v>
      </c>
    </row>
    <row r="84" spans="2:9">
      <c r="I84" s="10" t="s">
        <v>979</v>
      </c>
    </row>
    <row r="85" spans="2:9">
      <c r="C85" s="10" t="s">
        <v>980</v>
      </c>
      <c r="I85" s="10" t="s">
        <v>981</v>
      </c>
    </row>
    <row r="86" spans="2:9">
      <c r="C86" s="10" t="s">
        <v>982</v>
      </c>
      <c r="I86" s="10" t="s">
        <v>983</v>
      </c>
    </row>
    <row r="87" spans="2:9">
      <c r="C87" s="10" t="s">
        <v>984</v>
      </c>
      <c r="I87" s="10" t="s">
        <v>985</v>
      </c>
    </row>
    <row r="88" spans="2:9">
      <c r="C88" s="10" t="s">
        <v>986</v>
      </c>
      <c r="I88" s="10" t="s">
        <v>987</v>
      </c>
    </row>
    <row r="89" spans="2:9">
      <c r="C89" s="10" t="s">
        <v>988</v>
      </c>
      <c r="I89" s="10" t="s">
        <v>989</v>
      </c>
    </row>
    <row r="90" spans="2:9">
      <c r="C90" s="10" t="s">
        <v>990</v>
      </c>
      <c r="I90" s="10" t="s">
        <v>991</v>
      </c>
    </row>
    <row r="92" spans="2:9">
      <c r="B92" s="9" t="s">
        <v>937</v>
      </c>
    </row>
    <row r="93" spans="2:9">
      <c r="C93" s="10" t="s">
        <v>934</v>
      </c>
      <c r="I93" s="10" t="s">
        <v>943</v>
      </c>
    </row>
    <row r="94" spans="2:9">
      <c r="C94" s="10" t="s">
        <v>938</v>
      </c>
      <c r="I94" s="10" t="s">
        <v>944</v>
      </c>
    </row>
    <row r="95" spans="2:9">
      <c r="C95" s="10" t="s">
        <v>939</v>
      </c>
      <c r="I95" s="10" t="s">
        <v>945</v>
      </c>
    </row>
    <row r="96" spans="2:9">
      <c r="I96" s="10" t="s">
        <v>946</v>
      </c>
    </row>
    <row r="97" spans="3:9">
      <c r="C97" s="10" t="s">
        <v>948</v>
      </c>
      <c r="I97" s="10" t="s">
        <v>947</v>
      </c>
    </row>
    <row r="98" spans="3:9">
      <c r="C98" s="10" t="s">
        <v>949</v>
      </c>
      <c r="I98" s="10" t="s">
        <v>951</v>
      </c>
    </row>
    <row r="99" spans="3:9">
      <c r="C99" s="10" t="s">
        <v>950</v>
      </c>
      <c r="I99" s="10" t="s">
        <v>952</v>
      </c>
    </row>
    <row r="100" spans="3:9">
      <c r="I100" s="10" t="s">
        <v>953</v>
      </c>
    </row>
    <row r="101" spans="3:9">
      <c r="C101" s="10" t="s">
        <v>940</v>
      </c>
      <c r="I101" s="10" t="s">
        <v>954</v>
      </c>
    </row>
    <row r="102" spans="3:9">
      <c r="C102" s="10" t="s">
        <v>941</v>
      </c>
      <c r="I102" s="10" t="s">
        <v>955</v>
      </c>
    </row>
    <row r="103" spans="3:9">
      <c r="C103" s="10" t="s">
        <v>956</v>
      </c>
      <c r="I103" s="10" t="s">
        <v>957</v>
      </c>
    </row>
    <row r="104" spans="3:9">
      <c r="C104" s="10" t="s">
        <v>958</v>
      </c>
      <c r="I104" s="10" t="s">
        <v>959</v>
      </c>
    </row>
    <row r="105" spans="3:9">
      <c r="I105" s="10" t="s">
        <v>960</v>
      </c>
    </row>
    <row r="106" spans="3:9">
      <c r="I106" s="10" t="s">
        <v>961</v>
      </c>
    </row>
  </sheetData>
  <phoneticPr fontId="1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3CAA-8BF9-4D0A-8DC2-977512ABECD2}">
  <sheetPr>
    <tabColor theme="9" tint="0.79998168889431442"/>
  </sheetPr>
  <dimension ref="B2:I58"/>
  <sheetViews>
    <sheetView workbookViewId="0">
      <pane ySplit="8" topLeftCell="A31" activePane="bottomLeft" state="frozen"/>
      <selection activeCell="H22" sqref="H22"/>
      <selection pane="bottomLeft" activeCell="E12" sqref="E12"/>
    </sheetView>
  </sheetViews>
  <sheetFormatPr defaultRowHeight="18.75"/>
  <cols>
    <col min="1" max="1" width="5" customWidth="1"/>
    <col min="4" max="4" width="25.125" customWidth="1"/>
    <col min="5" max="5" width="45.125" customWidth="1"/>
    <col min="6" max="6" width="36.125" customWidth="1"/>
    <col min="7" max="7" width="12.875" hidden="1" customWidth="1"/>
    <col min="8" max="8" width="16.375" customWidth="1"/>
  </cols>
  <sheetData>
    <row r="2" spans="2:9">
      <c r="B2" s="72" t="s">
        <v>555</v>
      </c>
    </row>
    <row r="3" spans="2:9">
      <c r="B3" s="7" t="s">
        <v>102</v>
      </c>
    </row>
    <row r="4" spans="2:9">
      <c r="B4" s="7" t="s">
        <v>556</v>
      </c>
    </row>
    <row r="5" spans="2:9">
      <c r="B5" s="7" t="s">
        <v>103</v>
      </c>
    </row>
    <row r="6" spans="2:9">
      <c r="B6" s="73" t="s">
        <v>557</v>
      </c>
    </row>
    <row r="8" spans="2:9" ht="30">
      <c r="B8" s="46" t="s">
        <v>105</v>
      </c>
      <c r="C8" s="46" t="s">
        <v>106</v>
      </c>
      <c r="D8" s="46" t="s">
        <v>107</v>
      </c>
      <c r="E8" s="46" t="s">
        <v>108</v>
      </c>
      <c r="F8" s="46" t="s">
        <v>109</v>
      </c>
      <c r="G8" s="46" t="s">
        <v>558</v>
      </c>
      <c r="H8" s="46" t="s">
        <v>559</v>
      </c>
      <c r="I8" s="46" t="s">
        <v>110</v>
      </c>
    </row>
    <row r="9" spans="2:9">
      <c r="B9" s="88" t="s">
        <v>111</v>
      </c>
      <c r="C9" s="74"/>
      <c r="D9" s="74"/>
      <c r="E9" s="74"/>
      <c r="F9" s="74"/>
      <c r="G9" s="74"/>
      <c r="H9" s="74"/>
      <c r="I9" s="74"/>
    </row>
    <row r="10" spans="2:9" ht="45">
      <c r="B10" s="81" t="s">
        <v>112</v>
      </c>
      <c r="C10" s="75" t="s">
        <v>113</v>
      </c>
      <c r="D10" s="75" t="s">
        <v>114</v>
      </c>
      <c r="E10" s="75" t="s">
        <v>115</v>
      </c>
      <c r="F10" s="75" t="s">
        <v>560</v>
      </c>
      <c r="G10" s="75" t="s">
        <v>561</v>
      </c>
      <c r="H10" s="75" t="s">
        <v>515</v>
      </c>
      <c r="I10" s="83" t="s">
        <v>117</v>
      </c>
    </row>
    <row r="11" spans="2:9" ht="30">
      <c r="B11" s="82" t="s">
        <v>118</v>
      </c>
      <c r="C11" s="76" t="s">
        <v>113</v>
      </c>
      <c r="D11" s="76" t="s">
        <v>119</v>
      </c>
      <c r="E11" s="76" t="s">
        <v>120</v>
      </c>
      <c r="F11" s="76" t="s">
        <v>562</v>
      </c>
      <c r="G11" s="76" t="s">
        <v>561</v>
      </c>
      <c r="H11" s="76" t="s">
        <v>509</v>
      </c>
      <c r="I11" s="84" t="s">
        <v>117</v>
      </c>
    </row>
    <row r="12" spans="2:9" ht="30">
      <c r="B12" s="81" t="s">
        <v>122</v>
      </c>
      <c r="C12" s="75" t="s">
        <v>113</v>
      </c>
      <c r="D12" s="75" t="s">
        <v>123</v>
      </c>
      <c r="E12" s="75" t="s">
        <v>124</v>
      </c>
      <c r="F12" s="75" t="s">
        <v>563</v>
      </c>
      <c r="G12" s="75" t="s">
        <v>561</v>
      </c>
      <c r="H12" s="75" t="s">
        <v>515</v>
      </c>
      <c r="I12" s="83" t="s">
        <v>117</v>
      </c>
    </row>
    <row r="13" spans="2:9" ht="45">
      <c r="B13" s="82" t="s">
        <v>126</v>
      </c>
      <c r="C13" s="76" t="s">
        <v>113</v>
      </c>
      <c r="D13" s="76" t="s">
        <v>127</v>
      </c>
      <c r="E13" s="76" t="s">
        <v>564</v>
      </c>
      <c r="F13" s="76" t="s">
        <v>565</v>
      </c>
      <c r="G13" s="76" t="s">
        <v>561</v>
      </c>
      <c r="H13" s="76" t="s">
        <v>460</v>
      </c>
      <c r="I13" s="84" t="s">
        <v>117</v>
      </c>
    </row>
    <row r="14" spans="2:9" ht="60">
      <c r="B14" s="81" t="s">
        <v>130</v>
      </c>
      <c r="C14" s="75" t="s">
        <v>113</v>
      </c>
      <c r="D14" s="75" t="s">
        <v>131</v>
      </c>
      <c r="E14" s="75" t="s">
        <v>566</v>
      </c>
      <c r="F14" s="75" t="s">
        <v>567</v>
      </c>
      <c r="G14" s="75" t="s">
        <v>561</v>
      </c>
      <c r="H14" s="75" t="s">
        <v>499</v>
      </c>
      <c r="I14" s="83" t="s">
        <v>117</v>
      </c>
    </row>
    <row r="15" spans="2:9" ht="45">
      <c r="B15" s="82" t="s">
        <v>672</v>
      </c>
      <c r="C15" s="76" t="s">
        <v>113</v>
      </c>
      <c r="D15" s="76" t="s">
        <v>135</v>
      </c>
      <c r="E15" s="76" t="s">
        <v>568</v>
      </c>
      <c r="F15" s="76" t="s">
        <v>137</v>
      </c>
      <c r="G15" s="76" t="s">
        <v>561</v>
      </c>
      <c r="H15" s="76" t="s">
        <v>569</v>
      </c>
      <c r="I15" s="84" t="s">
        <v>117</v>
      </c>
    </row>
    <row r="16" spans="2:9" ht="75">
      <c r="B16" s="78" t="s">
        <v>570</v>
      </c>
      <c r="C16" s="77" t="s">
        <v>113</v>
      </c>
      <c r="D16" s="77" t="s">
        <v>571</v>
      </c>
      <c r="E16" s="77" t="s">
        <v>572</v>
      </c>
      <c r="F16" s="77" t="s">
        <v>573</v>
      </c>
      <c r="G16" s="78" t="s">
        <v>574</v>
      </c>
      <c r="H16" s="77" t="s">
        <v>671</v>
      </c>
      <c r="I16" s="83" t="s">
        <v>117</v>
      </c>
    </row>
    <row r="17" spans="2:9" ht="75">
      <c r="B17" s="80" t="s">
        <v>575</v>
      </c>
      <c r="C17" s="79" t="s">
        <v>113</v>
      </c>
      <c r="D17" s="79" t="s">
        <v>576</v>
      </c>
      <c r="E17" s="79" t="s">
        <v>577</v>
      </c>
      <c r="F17" s="79" t="s">
        <v>578</v>
      </c>
      <c r="G17" s="80" t="s">
        <v>574</v>
      </c>
      <c r="H17" s="79" t="s">
        <v>512</v>
      </c>
      <c r="I17" s="84" t="s">
        <v>117</v>
      </c>
    </row>
    <row r="18" spans="2:9">
      <c r="B18" s="88" t="s">
        <v>138</v>
      </c>
      <c r="C18" s="74"/>
      <c r="D18" s="74"/>
      <c r="E18" s="74"/>
      <c r="F18" s="74"/>
      <c r="G18" s="74"/>
      <c r="H18" s="74"/>
      <c r="I18" s="85"/>
    </row>
    <row r="19" spans="2:9" ht="48.75">
      <c r="B19" s="82" t="s">
        <v>139</v>
      </c>
      <c r="C19" s="76" t="s">
        <v>140</v>
      </c>
      <c r="D19" s="76" t="s">
        <v>141</v>
      </c>
      <c r="E19" s="76" t="s">
        <v>579</v>
      </c>
      <c r="F19" s="76" t="s">
        <v>580</v>
      </c>
      <c r="G19" s="76" t="s">
        <v>561</v>
      </c>
      <c r="H19" s="76" t="s">
        <v>456</v>
      </c>
      <c r="I19" s="84" t="s">
        <v>117</v>
      </c>
    </row>
    <row r="20" spans="2:9" ht="60">
      <c r="B20" s="81" t="s">
        <v>144</v>
      </c>
      <c r="C20" s="75" t="s">
        <v>140</v>
      </c>
      <c r="D20" s="75" t="s">
        <v>581</v>
      </c>
      <c r="E20" s="75" t="s">
        <v>582</v>
      </c>
      <c r="F20" s="75" t="s">
        <v>583</v>
      </c>
      <c r="G20" s="75" t="s">
        <v>561</v>
      </c>
      <c r="H20" s="75" t="s">
        <v>469</v>
      </c>
      <c r="I20" s="83" t="s">
        <v>117</v>
      </c>
    </row>
    <row r="21" spans="2:9" ht="75">
      <c r="B21" s="82" t="s">
        <v>148</v>
      </c>
      <c r="C21" s="76" t="s">
        <v>140</v>
      </c>
      <c r="D21" s="76" t="s">
        <v>149</v>
      </c>
      <c r="E21" s="76" t="s">
        <v>584</v>
      </c>
      <c r="F21" s="76" t="s">
        <v>585</v>
      </c>
      <c r="G21" s="76" t="s">
        <v>561</v>
      </c>
      <c r="H21" s="76" t="s">
        <v>466</v>
      </c>
      <c r="I21" s="84" t="s">
        <v>117</v>
      </c>
    </row>
    <row r="22" spans="2:9" ht="90">
      <c r="B22" s="81" t="s">
        <v>152</v>
      </c>
      <c r="C22" s="75" t="s">
        <v>140</v>
      </c>
      <c r="D22" s="75" t="s">
        <v>153</v>
      </c>
      <c r="E22" s="75" t="s">
        <v>586</v>
      </c>
      <c r="F22" s="75" t="s">
        <v>587</v>
      </c>
      <c r="G22" s="75" t="s">
        <v>588</v>
      </c>
      <c r="H22" s="75" t="s">
        <v>472</v>
      </c>
      <c r="I22" s="83" t="s">
        <v>117</v>
      </c>
    </row>
    <row r="23" spans="2:9" ht="60">
      <c r="B23" s="82" t="s">
        <v>156</v>
      </c>
      <c r="C23" s="76" t="s">
        <v>140</v>
      </c>
      <c r="D23" s="76" t="s">
        <v>157</v>
      </c>
      <c r="E23" s="76" t="s">
        <v>589</v>
      </c>
      <c r="F23" s="76" t="s">
        <v>590</v>
      </c>
      <c r="G23" s="76" t="s">
        <v>561</v>
      </c>
      <c r="H23" s="76" t="s">
        <v>495</v>
      </c>
      <c r="I23" s="84" t="s">
        <v>117</v>
      </c>
    </row>
    <row r="24" spans="2:9" ht="90">
      <c r="B24" s="81" t="s">
        <v>160</v>
      </c>
      <c r="C24" s="75" t="s">
        <v>140</v>
      </c>
      <c r="D24" s="75" t="s">
        <v>161</v>
      </c>
      <c r="E24" s="75" t="s">
        <v>591</v>
      </c>
      <c r="F24" s="75" t="s">
        <v>592</v>
      </c>
      <c r="G24" s="75" t="s">
        <v>588</v>
      </c>
      <c r="H24" s="75" t="s">
        <v>489</v>
      </c>
      <c r="I24" s="83" t="s">
        <v>117</v>
      </c>
    </row>
    <row r="25" spans="2:9" ht="75">
      <c r="B25" s="82" t="s">
        <v>164</v>
      </c>
      <c r="C25" s="76" t="s">
        <v>140</v>
      </c>
      <c r="D25" s="76" t="s">
        <v>593</v>
      </c>
      <c r="E25" s="76" t="s">
        <v>594</v>
      </c>
      <c r="F25" s="76" t="s">
        <v>595</v>
      </c>
      <c r="G25" s="76" t="s">
        <v>588</v>
      </c>
      <c r="H25" s="76" t="s">
        <v>596</v>
      </c>
      <c r="I25" s="84" t="s">
        <v>117</v>
      </c>
    </row>
    <row r="26" spans="2:9" ht="60">
      <c r="B26" s="81" t="s">
        <v>168</v>
      </c>
      <c r="C26" s="75" t="s">
        <v>140</v>
      </c>
      <c r="D26" s="75" t="s">
        <v>169</v>
      </c>
      <c r="E26" s="75" t="s">
        <v>597</v>
      </c>
      <c r="F26" s="75" t="s">
        <v>598</v>
      </c>
      <c r="G26" s="75" t="s">
        <v>588</v>
      </c>
      <c r="H26" s="75" t="s">
        <v>482</v>
      </c>
      <c r="I26" s="83" t="s">
        <v>117</v>
      </c>
    </row>
    <row r="27" spans="2:9" ht="90">
      <c r="B27" s="82" t="s">
        <v>172</v>
      </c>
      <c r="C27" s="76" t="s">
        <v>140</v>
      </c>
      <c r="D27" s="76" t="s">
        <v>173</v>
      </c>
      <c r="E27" s="76" t="s">
        <v>599</v>
      </c>
      <c r="F27" s="76" t="s">
        <v>600</v>
      </c>
      <c r="G27" s="76" t="s">
        <v>561</v>
      </c>
      <c r="H27" s="76" t="s">
        <v>479</v>
      </c>
      <c r="I27" s="84" t="s">
        <v>117</v>
      </c>
    </row>
    <row r="28" spans="2:9" ht="105">
      <c r="B28" s="78" t="s">
        <v>601</v>
      </c>
      <c r="C28" s="77" t="s">
        <v>140</v>
      </c>
      <c r="D28" s="77" t="s">
        <v>602</v>
      </c>
      <c r="E28" s="77" t="s">
        <v>603</v>
      </c>
      <c r="F28" s="77" t="s">
        <v>604</v>
      </c>
      <c r="G28" s="78" t="s">
        <v>574</v>
      </c>
      <c r="H28" s="77" t="s">
        <v>506</v>
      </c>
      <c r="I28" s="83" t="s">
        <v>117</v>
      </c>
    </row>
    <row r="29" spans="2:9" ht="105">
      <c r="B29" s="80" t="s">
        <v>605</v>
      </c>
      <c r="C29" s="79" t="s">
        <v>140</v>
      </c>
      <c r="D29" s="79" t="s">
        <v>606</v>
      </c>
      <c r="E29" s="79" t="s">
        <v>607</v>
      </c>
      <c r="F29" s="79" t="s">
        <v>608</v>
      </c>
      <c r="G29" s="80" t="s">
        <v>574</v>
      </c>
      <c r="H29" s="79" t="s">
        <v>609</v>
      </c>
      <c r="I29" s="84" t="s">
        <v>117</v>
      </c>
    </row>
    <row r="30" spans="2:9" ht="90">
      <c r="B30" s="78" t="s">
        <v>610</v>
      </c>
      <c r="C30" s="77" t="s">
        <v>140</v>
      </c>
      <c r="D30" s="77" t="s">
        <v>611</v>
      </c>
      <c r="E30" s="77" t="s">
        <v>612</v>
      </c>
      <c r="F30" s="77" t="s">
        <v>613</v>
      </c>
      <c r="G30" s="78" t="s">
        <v>574</v>
      </c>
      <c r="H30" s="77" t="s">
        <v>449</v>
      </c>
      <c r="I30" s="83" t="s">
        <v>117</v>
      </c>
    </row>
    <row r="31" spans="2:9">
      <c r="B31" s="88" t="s">
        <v>176</v>
      </c>
      <c r="C31" s="74"/>
      <c r="D31" s="74"/>
      <c r="E31" s="74"/>
      <c r="F31" s="74"/>
      <c r="G31" s="74"/>
      <c r="H31" s="74"/>
      <c r="I31" s="85"/>
    </row>
    <row r="32" spans="2:9" ht="60">
      <c r="B32" s="78" t="s">
        <v>177</v>
      </c>
      <c r="C32" s="77" t="s">
        <v>178</v>
      </c>
      <c r="D32" s="77" t="s">
        <v>179</v>
      </c>
      <c r="E32" s="77" t="s">
        <v>614</v>
      </c>
      <c r="F32" s="77" t="s">
        <v>615</v>
      </c>
      <c r="G32" s="78" t="s">
        <v>561</v>
      </c>
      <c r="H32" s="77" t="s">
        <v>616</v>
      </c>
      <c r="I32" s="83" t="s">
        <v>117</v>
      </c>
    </row>
    <row r="33" spans="2:9" ht="60">
      <c r="B33" s="80" t="s">
        <v>182</v>
      </c>
      <c r="C33" s="79" t="s">
        <v>178</v>
      </c>
      <c r="D33" s="79" t="s">
        <v>183</v>
      </c>
      <c r="E33" s="79" t="s">
        <v>617</v>
      </c>
      <c r="F33" s="79" t="s">
        <v>618</v>
      </c>
      <c r="G33" s="80" t="s">
        <v>561</v>
      </c>
      <c r="H33" s="79" t="s">
        <v>540</v>
      </c>
      <c r="I33" s="84" t="s">
        <v>117</v>
      </c>
    </row>
    <row r="34" spans="2:9" ht="60">
      <c r="B34" s="78" t="s">
        <v>186</v>
      </c>
      <c r="C34" s="77" t="s">
        <v>178</v>
      </c>
      <c r="D34" s="77" t="s">
        <v>187</v>
      </c>
      <c r="E34" s="77" t="s">
        <v>619</v>
      </c>
      <c r="F34" s="77" t="s">
        <v>620</v>
      </c>
      <c r="G34" s="78" t="s">
        <v>561</v>
      </c>
      <c r="H34" s="77" t="s">
        <v>528</v>
      </c>
      <c r="I34" s="83" t="s">
        <v>117</v>
      </c>
    </row>
    <row r="35" spans="2:9" ht="45">
      <c r="B35" s="80" t="s">
        <v>190</v>
      </c>
      <c r="C35" s="79" t="s">
        <v>178</v>
      </c>
      <c r="D35" s="79" t="s">
        <v>191</v>
      </c>
      <c r="E35" s="79" t="s">
        <v>621</v>
      </c>
      <c r="F35" s="79" t="s">
        <v>622</v>
      </c>
      <c r="G35" s="80" t="s">
        <v>561</v>
      </c>
      <c r="H35" s="79" t="s">
        <v>522</v>
      </c>
      <c r="I35" s="84" t="s">
        <v>117</v>
      </c>
    </row>
    <row r="36" spans="2:9" ht="60">
      <c r="B36" s="78" t="s">
        <v>194</v>
      </c>
      <c r="C36" s="77" t="s">
        <v>178</v>
      </c>
      <c r="D36" s="77" t="s">
        <v>195</v>
      </c>
      <c r="E36" s="77" t="s">
        <v>623</v>
      </c>
      <c r="F36" s="77" t="s">
        <v>624</v>
      </c>
      <c r="G36" s="78" t="s">
        <v>588</v>
      </c>
      <c r="H36" s="77" t="s">
        <v>531</v>
      </c>
      <c r="I36" s="83" t="s">
        <v>117</v>
      </c>
    </row>
    <row r="37" spans="2:9" ht="60">
      <c r="B37" s="80" t="s">
        <v>198</v>
      </c>
      <c r="C37" s="79" t="s">
        <v>178</v>
      </c>
      <c r="D37" s="79" t="s">
        <v>199</v>
      </c>
      <c r="E37" s="79" t="s">
        <v>625</v>
      </c>
      <c r="F37" s="79" t="s">
        <v>626</v>
      </c>
      <c r="G37" s="80" t="s">
        <v>561</v>
      </c>
      <c r="H37" s="79" t="s">
        <v>485</v>
      </c>
      <c r="I37" s="84" t="s">
        <v>117</v>
      </c>
    </row>
    <row r="38" spans="2:9" ht="75">
      <c r="B38" s="78" t="s">
        <v>202</v>
      </c>
      <c r="C38" s="77" t="s">
        <v>178</v>
      </c>
      <c r="D38" s="77" t="s">
        <v>627</v>
      </c>
      <c r="E38" s="77" t="s">
        <v>628</v>
      </c>
      <c r="F38" s="77" t="s">
        <v>629</v>
      </c>
      <c r="G38" s="78" t="s">
        <v>561</v>
      </c>
      <c r="H38" s="77" t="s">
        <v>525</v>
      </c>
      <c r="I38" s="83" t="s">
        <v>117</v>
      </c>
    </row>
    <row r="39" spans="2:9" ht="60">
      <c r="B39" s="80" t="s">
        <v>206</v>
      </c>
      <c r="C39" s="79" t="s">
        <v>178</v>
      </c>
      <c r="D39" s="79" t="s">
        <v>630</v>
      </c>
      <c r="E39" s="79" t="s">
        <v>631</v>
      </c>
      <c r="F39" s="79" t="s">
        <v>632</v>
      </c>
      <c r="G39" s="80" t="s">
        <v>588</v>
      </c>
      <c r="H39" s="79" t="s">
        <v>503</v>
      </c>
      <c r="I39" s="84" t="s">
        <v>117</v>
      </c>
    </row>
    <row r="40" spans="2:9" ht="82.5">
      <c r="B40" s="78" t="s">
        <v>210</v>
      </c>
      <c r="C40" s="77" t="s">
        <v>178</v>
      </c>
      <c r="D40" s="77" t="s">
        <v>211</v>
      </c>
      <c r="E40" s="77" t="s">
        <v>633</v>
      </c>
      <c r="F40" s="77" t="s">
        <v>567</v>
      </c>
      <c r="G40" s="78" t="s">
        <v>588</v>
      </c>
      <c r="H40" s="77" t="s">
        <v>499</v>
      </c>
      <c r="I40" s="83" t="s">
        <v>117</v>
      </c>
    </row>
    <row r="41" spans="2:9" ht="75">
      <c r="B41" s="80" t="s">
        <v>634</v>
      </c>
      <c r="C41" s="79" t="s">
        <v>178</v>
      </c>
      <c r="D41" s="79" t="s">
        <v>635</v>
      </c>
      <c r="E41" s="79" t="s">
        <v>636</v>
      </c>
      <c r="F41" s="79" t="s">
        <v>637</v>
      </c>
      <c r="G41" s="80" t="s">
        <v>574</v>
      </c>
      <c r="H41" s="79" t="s">
        <v>543</v>
      </c>
      <c r="I41" s="84" t="s">
        <v>117</v>
      </c>
    </row>
    <row r="42" spans="2:9" ht="90">
      <c r="B42" s="78" t="s">
        <v>638</v>
      </c>
      <c r="C42" s="77" t="s">
        <v>178</v>
      </c>
      <c r="D42" s="77" t="s">
        <v>639</v>
      </c>
      <c r="E42" s="77" t="s">
        <v>640</v>
      </c>
      <c r="F42" s="77" t="s">
        <v>641</v>
      </c>
      <c r="G42" s="78" t="s">
        <v>574</v>
      </c>
      <c r="H42" s="77" t="s">
        <v>642</v>
      </c>
      <c r="I42" s="83" t="s">
        <v>117</v>
      </c>
    </row>
    <row r="43" spans="2:9" ht="75">
      <c r="B43" s="80" t="s">
        <v>643</v>
      </c>
      <c r="C43" s="79" t="s">
        <v>178</v>
      </c>
      <c r="D43" s="79" t="s">
        <v>644</v>
      </c>
      <c r="E43" s="79" t="s">
        <v>645</v>
      </c>
      <c r="F43" s="79" t="s">
        <v>646</v>
      </c>
      <c r="G43" s="80" t="s">
        <v>574</v>
      </c>
      <c r="H43" s="79" t="s">
        <v>549</v>
      </c>
      <c r="I43" s="84" t="s">
        <v>117</v>
      </c>
    </row>
    <row r="44" spans="2:9" ht="90">
      <c r="B44" s="78" t="s">
        <v>647</v>
      </c>
      <c r="C44" s="77" t="s">
        <v>178</v>
      </c>
      <c r="D44" s="77" t="s">
        <v>648</v>
      </c>
      <c r="E44" s="77" t="s">
        <v>649</v>
      </c>
      <c r="F44" s="77" t="s">
        <v>650</v>
      </c>
      <c r="G44" s="78" t="s">
        <v>574</v>
      </c>
      <c r="H44" s="77" t="s">
        <v>534</v>
      </c>
      <c r="I44" s="83" t="s">
        <v>117</v>
      </c>
    </row>
    <row r="45" spans="2:9">
      <c r="B45" s="88" t="s">
        <v>213</v>
      </c>
      <c r="C45" s="74"/>
      <c r="D45" s="74"/>
      <c r="E45" s="74"/>
      <c r="F45" s="74"/>
      <c r="G45" s="74"/>
      <c r="H45" s="74"/>
      <c r="I45" s="85"/>
    </row>
    <row r="46" spans="2:9" ht="45">
      <c r="B46" s="78" t="s">
        <v>214</v>
      </c>
      <c r="C46" s="77" t="s">
        <v>215</v>
      </c>
      <c r="D46" s="77" t="s">
        <v>216</v>
      </c>
      <c r="E46" s="77" t="s">
        <v>651</v>
      </c>
      <c r="F46" s="77" t="s">
        <v>218</v>
      </c>
      <c r="G46" s="78" t="s">
        <v>561</v>
      </c>
      <c r="H46" s="77" t="s">
        <v>469</v>
      </c>
      <c r="I46" s="83" t="s">
        <v>117</v>
      </c>
    </row>
    <row r="47" spans="2:9" ht="60">
      <c r="B47" s="80" t="s">
        <v>219</v>
      </c>
      <c r="C47" s="79" t="s">
        <v>215</v>
      </c>
      <c r="D47" s="79" t="s">
        <v>220</v>
      </c>
      <c r="E47" s="79" t="s">
        <v>221</v>
      </c>
      <c r="F47" s="79" t="s">
        <v>222</v>
      </c>
      <c r="G47" s="80" t="s">
        <v>561</v>
      </c>
      <c r="H47" s="79" t="s">
        <v>240</v>
      </c>
      <c r="I47" s="84" t="s">
        <v>117</v>
      </c>
    </row>
    <row r="48" spans="2:9" ht="60">
      <c r="B48" s="78" t="s">
        <v>223</v>
      </c>
      <c r="C48" s="77" t="s">
        <v>215</v>
      </c>
      <c r="D48" s="77" t="s">
        <v>224</v>
      </c>
      <c r="E48" s="77" t="s">
        <v>652</v>
      </c>
      <c r="F48" s="77" t="s">
        <v>653</v>
      </c>
      <c r="G48" s="78" t="s">
        <v>588</v>
      </c>
      <c r="H48" s="77" t="s">
        <v>506</v>
      </c>
      <c r="I48" s="83" t="s">
        <v>117</v>
      </c>
    </row>
    <row r="49" spans="2:9" ht="30">
      <c r="B49" s="80" t="s">
        <v>227</v>
      </c>
      <c r="C49" s="79" t="s">
        <v>215</v>
      </c>
      <c r="D49" s="79" t="s">
        <v>228</v>
      </c>
      <c r="E49" s="79" t="s">
        <v>654</v>
      </c>
      <c r="F49" s="79" t="s">
        <v>137</v>
      </c>
      <c r="G49" s="80" t="s">
        <v>561</v>
      </c>
      <c r="H49" s="79" t="s">
        <v>240</v>
      </c>
      <c r="I49" s="84" t="s">
        <v>117</v>
      </c>
    </row>
    <row r="50" spans="2:9" ht="30">
      <c r="B50" s="78" t="s">
        <v>230</v>
      </c>
      <c r="C50" s="77" t="s">
        <v>215</v>
      </c>
      <c r="D50" s="77" t="s">
        <v>655</v>
      </c>
      <c r="E50" s="77" t="s">
        <v>232</v>
      </c>
      <c r="F50" s="77" t="s">
        <v>233</v>
      </c>
      <c r="G50" s="78" t="s">
        <v>561</v>
      </c>
      <c r="H50" s="77" t="s">
        <v>240</v>
      </c>
      <c r="I50" s="83" t="s">
        <v>117</v>
      </c>
    </row>
    <row r="51" spans="2:9" ht="30">
      <c r="B51" s="80" t="s">
        <v>234</v>
      </c>
      <c r="C51" s="79" t="s">
        <v>215</v>
      </c>
      <c r="D51" s="79" t="s">
        <v>235</v>
      </c>
      <c r="E51" s="79" t="s">
        <v>656</v>
      </c>
      <c r="F51" s="79" t="s">
        <v>657</v>
      </c>
      <c r="G51" s="80" t="s">
        <v>561</v>
      </c>
      <c r="H51" s="79" t="s">
        <v>240</v>
      </c>
      <c r="I51" s="84" t="s">
        <v>117</v>
      </c>
    </row>
    <row r="52" spans="2:9" ht="56.25">
      <c r="B52" s="78" t="s">
        <v>238</v>
      </c>
      <c r="C52" s="77" t="s">
        <v>215</v>
      </c>
      <c r="D52" s="77" t="s">
        <v>239</v>
      </c>
      <c r="E52" s="77" t="s">
        <v>658</v>
      </c>
      <c r="F52" s="77" t="s">
        <v>240</v>
      </c>
      <c r="G52" s="78" t="s">
        <v>561</v>
      </c>
      <c r="H52" s="77" t="s">
        <v>240</v>
      </c>
      <c r="I52" s="83" t="s">
        <v>117</v>
      </c>
    </row>
    <row r="53" spans="2:9" ht="75">
      <c r="B53" s="80" t="s">
        <v>659</v>
      </c>
      <c r="C53" s="79" t="s">
        <v>215</v>
      </c>
      <c r="D53" s="79" t="s">
        <v>660</v>
      </c>
      <c r="E53" s="79" t="s">
        <v>661</v>
      </c>
      <c r="F53" s="79" t="s">
        <v>662</v>
      </c>
      <c r="G53" s="80" t="s">
        <v>574</v>
      </c>
      <c r="H53" s="79" t="s">
        <v>552</v>
      </c>
      <c r="I53" s="84" t="s">
        <v>117</v>
      </c>
    </row>
    <row r="54" spans="2:9" ht="75">
      <c r="B54" s="78" t="s">
        <v>663</v>
      </c>
      <c r="C54" s="77" t="s">
        <v>215</v>
      </c>
      <c r="D54" s="77" t="s">
        <v>664</v>
      </c>
      <c r="E54" s="77" t="s">
        <v>665</v>
      </c>
      <c r="F54" s="77" t="s">
        <v>666</v>
      </c>
      <c r="G54" s="78" t="s">
        <v>574</v>
      </c>
      <c r="H54" s="77" t="s">
        <v>667</v>
      </c>
      <c r="I54" s="83" t="s">
        <v>117</v>
      </c>
    </row>
    <row r="56" spans="2:9">
      <c r="B56" s="87" t="s">
        <v>668</v>
      </c>
    </row>
    <row r="57" spans="2:9">
      <c r="B57" s="86" t="s">
        <v>669</v>
      </c>
    </row>
    <row r="58" spans="2:9">
      <c r="B58" s="44" t="s">
        <v>670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9822-0575-43D0-A927-34CA4FBEBEE4}">
  <sheetPr>
    <tabColor theme="4" tint="0.79998168889431442"/>
  </sheetPr>
  <dimension ref="B2:G68"/>
  <sheetViews>
    <sheetView topLeftCell="A43" workbookViewId="0">
      <selection activeCell="F20" sqref="F20"/>
    </sheetView>
  </sheetViews>
  <sheetFormatPr defaultRowHeight="18.75"/>
  <cols>
    <col min="1" max="1" width="2.875" customWidth="1"/>
    <col min="2" max="2" width="29.5" customWidth="1"/>
    <col min="3" max="3" width="23.625" customWidth="1"/>
    <col min="7" max="7" width="57.875" customWidth="1"/>
  </cols>
  <sheetData>
    <row r="2" spans="2:7">
      <c r="B2" s="11" t="s">
        <v>288</v>
      </c>
    </row>
    <row r="3" spans="2:7">
      <c r="B3" s="7" t="s">
        <v>289</v>
      </c>
    </row>
    <row r="4" spans="2:7">
      <c r="B4" s="7" t="s">
        <v>933</v>
      </c>
    </row>
    <row r="6" spans="2:7">
      <c r="B6" s="8" t="s">
        <v>290</v>
      </c>
      <c r="C6" s="8">
        <f>COUNTA(B12:B68)</f>
        <v>57</v>
      </c>
    </row>
    <row r="7" spans="2:7">
      <c r="B7" s="8" t="s">
        <v>291</v>
      </c>
      <c r="C7" s="42">
        <f>COUNTIF(F12:F68,"Covered")</f>
        <v>23</v>
      </c>
      <c r="D7" s="42" t="str">
        <f>C7&amp;" / "&amp;C6&amp;" ("&amp;TEXT(C7/C6,"0%")&amp;")"</f>
        <v>23 / 57 (40%)</v>
      </c>
    </row>
    <row r="8" spans="2:7">
      <c r="B8" s="8" t="s">
        <v>292</v>
      </c>
      <c r="C8" s="43">
        <f>COUNTIF(F12:F68,"Gap")</f>
        <v>14</v>
      </c>
      <c r="D8" t="str">
        <f>C8&amp;" / "&amp;C6&amp;" ("&amp;TEXT(C8/C6,"0%")&amp;")"</f>
        <v>14 / 57 (25%)</v>
      </c>
    </row>
    <row r="9" spans="2:7">
      <c r="B9" s="48" t="s">
        <v>293</v>
      </c>
      <c r="C9" s="49">
        <f>COUNTIF(F12:F68,"Partial")</f>
        <v>20</v>
      </c>
      <c r="D9" s="50" t="str">
        <f>C9&amp;" / "&amp;C6&amp;" ("&amp;TEXT(C9/C6,"0%")&amp;")"</f>
        <v>20 / 57 (35%)</v>
      </c>
    </row>
    <row r="11" spans="2:7" ht="45">
      <c r="B11" s="47" t="s">
        <v>294</v>
      </c>
      <c r="C11" s="47" t="s">
        <v>295</v>
      </c>
      <c r="D11" s="47" t="s">
        <v>296</v>
      </c>
      <c r="E11" s="47" t="s">
        <v>297</v>
      </c>
      <c r="F11" s="47" t="s">
        <v>298</v>
      </c>
      <c r="G11" s="47" t="s">
        <v>299</v>
      </c>
    </row>
    <row r="12" spans="2:7" ht="30">
      <c r="B12" s="51" t="s">
        <v>300</v>
      </c>
      <c r="C12" s="52" t="s">
        <v>301</v>
      </c>
      <c r="D12" s="52" t="s">
        <v>302</v>
      </c>
      <c r="E12" s="52" t="s">
        <v>303</v>
      </c>
      <c r="F12" s="61" t="s">
        <v>304</v>
      </c>
      <c r="G12" s="52" t="s">
        <v>871</v>
      </c>
    </row>
    <row r="13" spans="2:7" ht="45">
      <c r="B13" s="51" t="s">
        <v>305</v>
      </c>
      <c r="C13" s="52" t="s">
        <v>306</v>
      </c>
      <c r="D13" s="52" t="s">
        <v>302</v>
      </c>
      <c r="E13" s="52" t="s">
        <v>240</v>
      </c>
      <c r="F13" s="62" t="s">
        <v>307</v>
      </c>
      <c r="G13" s="52" t="s">
        <v>872</v>
      </c>
    </row>
    <row r="14" spans="2:7" ht="45">
      <c r="B14" s="51" t="s">
        <v>308</v>
      </c>
      <c r="C14" s="52" t="s">
        <v>309</v>
      </c>
      <c r="D14" s="52" t="s">
        <v>302</v>
      </c>
      <c r="E14" s="52" t="s">
        <v>240</v>
      </c>
      <c r="F14" s="62" t="s">
        <v>307</v>
      </c>
      <c r="G14" s="52" t="s">
        <v>873</v>
      </c>
    </row>
    <row r="15" spans="2:7" ht="45">
      <c r="B15" s="51" t="s">
        <v>310</v>
      </c>
      <c r="C15" s="52" t="s">
        <v>311</v>
      </c>
      <c r="D15" s="52" t="s">
        <v>302</v>
      </c>
      <c r="E15" s="52" t="s">
        <v>312</v>
      </c>
      <c r="F15" s="61" t="s">
        <v>304</v>
      </c>
      <c r="G15" s="52" t="s">
        <v>874</v>
      </c>
    </row>
    <row r="16" spans="2:7" ht="45">
      <c r="B16" s="51" t="s">
        <v>313</v>
      </c>
      <c r="C16" s="52" t="s">
        <v>314</v>
      </c>
      <c r="D16" s="52" t="s">
        <v>302</v>
      </c>
      <c r="E16" s="52" t="s">
        <v>315</v>
      </c>
      <c r="F16" s="61" t="s">
        <v>304</v>
      </c>
      <c r="G16" s="52" t="s">
        <v>875</v>
      </c>
    </row>
    <row r="17" spans="2:7" ht="45">
      <c r="B17" s="51" t="s">
        <v>316</v>
      </c>
      <c r="C17" s="52" t="s">
        <v>317</v>
      </c>
      <c r="D17" s="52" t="s">
        <v>302</v>
      </c>
      <c r="E17" s="52" t="s">
        <v>876</v>
      </c>
      <c r="F17" s="61" t="s">
        <v>304</v>
      </c>
      <c r="G17" s="52" t="s">
        <v>877</v>
      </c>
    </row>
    <row r="18" spans="2:7" ht="52.5">
      <c r="B18" s="51" t="s">
        <v>320</v>
      </c>
      <c r="C18" s="52" t="s">
        <v>321</v>
      </c>
      <c r="D18" s="52" t="s">
        <v>302</v>
      </c>
      <c r="E18" s="52" t="s">
        <v>322</v>
      </c>
      <c r="F18" s="61" t="s">
        <v>304</v>
      </c>
      <c r="G18" s="52" t="s">
        <v>878</v>
      </c>
    </row>
    <row r="19" spans="2:7" ht="105">
      <c r="B19" s="53" t="s">
        <v>323</v>
      </c>
      <c r="C19" s="54" t="s">
        <v>324</v>
      </c>
      <c r="D19" s="54" t="s">
        <v>325</v>
      </c>
      <c r="E19" s="54" t="s">
        <v>879</v>
      </c>
      <c r="F19" s="61" t="s">
        <v>304</v>
      </c>
      <c r="G19" s="54" t="s">
        <v>880</v>
      </c>
    </row>
    <row r="20" spans="2:7" ht="45">
      <c r="B20" s="53" t="s">
        <v>326</v>
      </c>
      <c r="C20" s="54" t="s">
        <v>327</v>
      </c>
      <c r="D20" s="54" t="s">
        <v>325</v>
      </c>
      <c r="E20" s="54" t="s">
        <v>240</v>
      </c>
      <c r="F20" s="62" t="s">
        <v>307</v>
      </c>
      <c r="G20" s="54" t="s">
        <v>881</v>
      </c>
    </row>
    <row r="21" spans="2:7" ht="45">
      <c r="B21" s="53" t="s">
        <v>328</v>
      </c>
      <c r="C21" s="54" t="s">
        <v>329</v>
      </c>
      <c r="D21" s="54" t="s">
        <v>325</v>
      </c>
      <c r="E21" s="54" t="s">
        <v>330</v>
      </c>
      <c r="F21" s="63" t="s">
        <v>319</v>
      </c>
      <c r="G21" s="54" t="s">
        <v>882</v>
      </c>
    </row>
    <row r="22" spans="2:7" ht="45">
      <c r="B22" s="53" t="s">
        <v>331</v>
      </c>
      <c r="C22" s="54" t="s">
        <v>332</v>
      </c>
      <c r="D22" s="54" t="s">
        <v>325</v>
      </c>
      <c r="E22" s="54" t="s">
        <v>134</v>
      </c>
      <c r="F22" s="63" t="s">
        <v>319</v>
      </c>
      <c r="G22" s="54" t="s">
        <v>883</v>
      </c>
    </row>
    <row r="23" spans="2:7" ht="45">
      <c r="B23" s="53" t="s">
        <v>333</v>
      </c>
      <c r="C23" s="54" t="s">
        <v>334</v>
      </c>
      <c r="D23" s="54" t="s">
        <v>325</v>
      </c>
      <c r="E23" s="54" t="s">
        <v>182</v>
      </c>
      <c r="F23" s="63" t="s">
        <v>319</v>
      </c>
      <c r="G23" s="54" t="s">
        <v>884</v>
      </c>
    </row>
    <row r="24" spans="2:7" ht="45">
      <c r="B24" s="53" t="s">
        <v>335</v>
      </c>
      <c r="C24" s="54" t="s">
        <v>336</v>
      </c>
      <c r="D24" s="54" t="s">
        <v>325</v>
      </c>
      <c r="E24" s="54" t="s">
        <v>337</v>
      </c>
      <c r="F24" s="61" t="s">
        <v>304</v>
      </c>
      <c r="G24" s="54" t="s">
        <v>885</v>
      </c>
    </row>
    <row r="25" spans="2:7" ht="45">
      <c r="B25" s="53" t="s">
        <v>338</v>
      </c>
      <c r="C25" s="54" t="s">
        <v>339</v>
      </c>
      <c r="D25" s="54" t="s">
        <v>325</v>
      </c>
      <c r="E25" s="54" t="s">
        <v>160</v>
      </c>
      <c r="F25" s="61" t="s">
        <v>304</v>
      </c>
      <c r="G25" s="54" t="s">
        <v>886</v>
      </c>
    </row>
    <row r="26" spans="2:7" ht="45">
      <c r="B26" s="53" t="s">
        <v>340</v>
      </c>
      <c r="C26" s="54" t="s">
        <v>341</v>
      </c>
      <c r="D26" s="54" t="s">
        <v>325</v>
      </c>
      <c r="E26" s="54" t="s">
        <v>240</v>
      </c>
      <c r="F26" s="62" t="s">
        <v>307</v>
      </c>
      <c r="G26" s="54" t="s">
        <v>887</v>
      </c>
    </row>
    <row r="27" spans="2:7" ht="45">
      <c r="B27" s="53" t="s">
        <v>342</v>
      </c>
      <c r="C27" s="54" t="s">
        <v>343</v>
      </c>
      <c r="D27" s="54" t="s">
        <v>325</v>
      </c>
      <c r="E27" s="54" t="s">
        <v>888</v>
      </c>
      <c r="F27" s="63" t="s">
        <v>319</v>
      </c>
      <c r="G27" s="54" t="s">
        <v>889</v>
      </c>
    </row>
    <row r="28" spans="2:7" ht="30">
      <c r="B28" s="53" t="s">
        <v>344</v>
      </c>
      <c r="C28" s="54" t="s">
        <v>345</v>
      </c>
      <c r="D28" s="54" t="s">
        <v>325</v>
      </c>
      <c r="E28" s="54" t="s">
        <v>318</v>
      </c>
      <c r="F28" s="61" t="s">
        <v>304</v>
      </c>
      <c r="G28" s="54" t="s">
        <v>890</v>
      </c>
    </row>
    <row r="29" spans="2:7" ht="45">
      <c r="B29" s="53" t="s">
        <v>346</v>
      </c>
      <c r="C29" s="54" t="s">
        <v>347</v>
      </c>
      <c r="D29" s="54" t="s">
        <v>325</v>
      </c>
      <c r="E29" s="54" t="s">
        <v>348</v>
      </c>
      <c r="F29" s="61" t="s">
        <v>304</v>
      </c>
      <c r="G29" s="54" t="s">
        <v>891</v>
      </c>
    </row>
    <row r="30" spans="2:7" ht="45">
      <c r="B30" s="53" t="s">
        <v>349</v>
      </c>
      <c r="C30" s="54" t="s">
        <v>350</v>
      </c>
      <c r="D30" s="54" t="s">
        <v>325</v>
      </c>
      <c r="E30" s="54" t="s">
        <v>351</v>
      </c>
      <c r="F30" s="61" t="s">
        <v>304</v>
      </c>
      <c r="G30" s="54" t="s">
        <v>892</v>
      </c>
    </row>
    <row r="31" spans="2:7" ht="30">
      <c r="B31" s="53" t="s">
        <v>352</v>
      </c>
      <c r="C31" s="54" t="s">
        <v>353</v>
      </c>
      <c r="D31" s="54" t="s">
        <v>325</v>
      </c>
      <c r="E31" s="54" t="s">
        <v>893</v>
      </c>
      <c r="F31" s="61" t="s">
        <v>304</v>
      </c>
      <c r="G31" s="54" t="s">
        <v>894</v>
      </c>
    </row>
    <row r="32" spans="2:7" ht="45">
      <c r="B32" s="53" t="s">
        <v>354</v>
      </c>
      <c r="C32" s="54" t="s">
        <v>355</v>
      </c>
      <c r="D32" s="54" t="s">
        <v>325</v>
      </c>
      <c r="E32" s="54" t="s">
        <v>156</v>
      </c>
      <c r="F32" s="61" t="s">
        <v>304</v>
      </c>
      <c r="G32" s="54" t="s">
        <v>895</v>
      </c>
    </row>
    <row r="33" spans="2:7" ht="45">
      <c r="B33" s="53" t="s">
        <v>356</v>
      </c>
      <c r="C33" s="54" t="s">
        <v>357</v>
      </c>
      <c r="D33" s="54" t="s">
        <v>325</v>
      </c>
      <c r="E33" s="54" t="s">
        <v>601</v>
      </c>
      <c r="F33" s="61" t="s">
        <v>304</v>
      </c>
      <c r="G33" s="54" t="s">
        <v>896</v>
      </c>
    </row>
    <row r="34" spans="2:7" ht="30">
      <c r="B34" s="53" t="s">
        <v>358</v>
      </c>
      <c r="C34" s="54" t="s">
        <v>359</v>
      </c>
      <c r="D34" s="54" t="s">
        <v>325</v>
      </c>
      <c r="E34" s="54" t="s">
        <v>206</v>
      </c>
      <c r="F34" s="61" t="s">
        <v>304</v>
      </c>
      <c r="G34" s="54" t="s">
        <v>897</v>
      </c>
    </row>
    <row r="35" spans="2:7" ht="45">
      <c r="B35" s="53" t="s">
        <v>360</v>
      </c>
      <c r="C35" s="54" t="s">
        <v>361</v>
      </c>
      <c r="D35" s="54" t="s">
        <v>325</v>
      </c>
      <c r="E35" s="54" t="s">
        <v>206</v>
      </c>
      <c r="F35" s="61" t="s">
        <v>304</v>
      </c>
      <c r="G35" s="54" t="s">
        <v>898</v>
      </c>
    </row>
    <row r="36" spans="2:7" ht="105">
      <c r="B36" s="55" t="s">
        <v>362</v>
      </c>
      <c r="C36" s="56" t="s">
        <v>363</v>
      </c>
      <c r="D36" s="56" t="s">
        <v>364</v>
      </c>
      <c r="E36" s="56" t="s">
        <v>899</v>
      </c>
      <c r="F36" s="61" t="s">
        <v>304</v>
      </c>
      <c r="G36" s="56" t="s">
        <v>900</v>
      </c>
    </row>
    <row r="37" spans="2:7" ht="45">
      <c r="B37" s="55" t="s">
        <v>365</v>
      </c>
      <c r="C37" s="56" t="s">
        <v>366</v>
      </c>
      <c r="D37" s="56" t="s">
        <v>364</v>
      </c>
      <c r="E37" s="56" t="s">
        <v>240</v>
      </c>
      <c r="F37" s="62" t="s">
        <v>307</v>
      </c>
      <c r="G37" s="56" t="s">
        <v>901</v>
      </c>
    </row>
    <row r="38" spans="2:7" ht="30">
      <c r="B38" s="55" t="s">
        <v>367</v>
      </c>
      <c r="C38" s="56" t="s">
        <v>368</v>
      </c>
      <c r="D38" s="56" t="s">
        <v>364</v>
      </c>
      <c r="E38" s="56" t="s">
        <v>330</v>
      </c>
      <c r="F38" s="63" t="s">
        <v>319</v>
      </c>
      <c r="G38" s="56" t="s">
        <v>902</v>
      </c>
    </row>
    <row r="39" spans="2:7" ht="45">
      <c r="B39" s="55" t="s">
        <v>369</v>
      </c>
      <c r="C39" s="56" t="s">
        <v>370</v>
      </c>
      <c r="D39" s="56" t="s">
        <v>364</v>
      </c>
      <c r="E39" s="56" t="s">
        <v>139</v>
      </c>
      <c r="F39" s="63" t="s">
        <v>319</v>
      </c>
      <c r="G39" s="56" t="s">
        <v>903</v>
      </c>
    </row>
    <row r="40" spans="2:7" ht="45">
      <c r="B40" s="55" t="s">
        <v>371</v>
      </c>
      <c r="C40" s="56" t="s">
        <v>372</v>
      </c>
      <c r="D40" s="56" t="s">
        <v>364</v>
      </c>
      <c r="E40" s="56" t="s">
        <v>223</v>
      </c>
      <c r="F40" s="63" t="s">
        <v>319</v>
      </c>
      <c r="G40" s="56" t="s">
        <v>904</v>
      </c>
    </row>
    <row r="41" spans="2:7" ht="45">
      <c r="B41" s="55" t="s">
        <v>373</v>
      </c>
      <c r="C41" s="56" t="s">
        <v>374</v>
      </c>
      <c r="D41" s="56" t="s">
        <v>364</v>
      </c>
      <c r="E41" s="56" t="s">
        <v>134</v>
      </c>
      <c r="F41" s="63" t="s">
        <v>319</v>
      </c>
      <c r="G41" s="56" t="s">
        <v>905</v>
      </c>
    </row>
    <row r="42" spans="2:7" ht="30">
      <c r="B42" s="55" t="s">
        <v>375</v>
      </c>
      <c r="C42" s="56" t="s">
        <v>376</v>
      </c>
      <c r="D42" s="56" t="s">
        <v>364</v>
      </c>
      <c r="E42" s="56" t="s">
        <v>134</v>
      </c>
      <c r="F42" s="63" t="s">
        <v>319</v>
      </c>
      <c r="G42" s="56" t="s">
        <v>906</v>
      </c>
    </row>
    <row r="43" spans="2:7" ht="45">
      <c r="B43" s="55" t="s">
        <v>377</v>
      </c>
      <c r="C43" s="56" t="s">
        <v>378</v>
      </c>
      <c r="D43" s="56" t="s">
        <v>364</v>
      </c>
      <c r="E43" s="56" t="s">
        <v>182</v>
      </c>
      <c r="F43" s="63" t="s">
        <v>319</v>
      </c>
      <c r="G43" s="56" t="s">
        <v>907</v>
      </c>
    </row>
    <row r="44" spans="2:7" ht="45">
      <c r="B44" s="55" t="s">
        <v>379</v>
      </c>
      <c r="C44" s="56" t="s">
        <v>380</v>
      </c>
      <c r="D44" s="56" t="s">
        <v>364</v>
      </c>
      <c r="E44" s="56" t="s">
        <v>381</v>
      </c>
      <c r="F44" s="61" t="s">
        <v>304</v>
      </c>
      <c r="G44" s="56" t="s">
        <v>908</v>
      </c>
    </row>
    <row r="45" spans="2:7" ht="30">
      <c r="B45" s="55" t="s">
        <v>382</v>
      </c>
      <c r="C45" s="56" t="s">
        <v>383</v>
      </c>
      <c r="D45" s="56" t="s">
        <v>364</v>
      </c>
      <c r="E45" s="56" t="s">
        <v>240</v>
      </c>
      <c r="F45" s="62" t="s">
        <v>307</v>
      </c>
      <c r="G45" s="56" t="s">
        <v>909</v>
      </c>
    </row>
    <row r="46" spans="2:7" ht="30">
      <c r="B46" s="55" t="s">
        <v>384</v>
      </c>
      <c r="C46" s="56" t="s">
        <v>385</v>
      </c>
      <c r="D46" s="56" t="s">
        <v>364</v>
      </c>
      <c r="E46" s="56" t="s">
        <v>206</v>
      </c>
      <c r="F46" s="61" t="s">
        <v>304</v>
      </c>
      <c r="G46" s="56" t="s">
        <v>910</v>
      </c>
    </row>
    <row r="47" spans="2:7" ht="45">
      <c r="B47" s="55" t="s">
        <v>386</v>
      </c>
      <c r="C47" s="56" t="s">
        <v>387</v>
      </c>
      <c r="D47" s="56" t="s">
        <v>364</v>
      </c>
      <c r="E47" s="56" t="s">
        <v>206</v>
      </c>
      <c r="F47" s="63" t="s">
        <v>319</v>
      </c>
      <c r="G47" s="56" t="s">
        <v>911</v>
      </c>
    </row>
    <row r="48" spans="2:7" ht="45">
      <c r="B48" s="55" t="s">
        <v>388</v>
      </c>
      <c r="C48" s="56" t="s">
        <v>389</v>
      </c>
      <c r="D48" s="56" t="s">
        <v>364</v>
      </c>
      <c r="E48" s="56" t="s">
        <v>390</v>
      </c>
      <c r="F48" s="61" t="s">
        <v>304</v>
      </c>
      <c r="G48" s="56" t="s">
        <v>912</v>
      </c>
    </row>
    <row r="49" spans="2:7" ht="45">
      <c r="B49" s="57" t="s">
        <v>391</v>
      </c>
      <c r="C49" s="58" t="s">
        <v>392</v>
      </c>
      <c r="D49" s="58" t="s">
        <v>393</v>
      </c>
      <c r="E49" s="58" t="s">
        <v>240</v>
      </c>
      <c r="F49" s="62" t="s">
        <v>307</v>
      </c>
      <c r="G49" s="58" t="s">
        <v>913</v>
      </c>
    </row>
    <row r="50" spans="2:7" ht="45">
      <c r="B50" s="57" t="s">
        <v>394</v>
      </c>
      <c r="C50" s="58" t="s">
        <v>395</v>
      </c>
      <c r="D50" s="58" t="s">
        <v>393</v>
      </c>
      <c r="E50" s="58" t="s">
        <v>240</v>
      </c>
      <c r="F50" s="62" t="s">
        <v>307</v>
      </c>
      <c r="G50" s="58" t="s">
        <v>914</v>
      </c>
    </row>
    <row r="51" spans="2:7" ht="45">
      <c r="B51" s="57" t="s">
        <v>396</v>
      </c>
      <c r="C51" s="58" t="s">
        <v>397</v>
      </c>
      <c r="D51" s="58" t="s">
        <v>393</v>
      </c>
      <c r="E51" s="58" t="s">
        <v>240</v>
      </c>
      <c r="F51" s="62" t="s">
        <v>307</v>
      </c>
      <c r="G51" s="58" t="s">
        <v>915</v>
      </c>
    </row>
    <row r="52" spans="2:7" ht="45">
      <c r="B52" s="57" t="s">
        <v>398</v>
      </c>
      <c r="C52" s="58" t="s">
        <v>399</v>
      </c>
      <c r="D52" s="58" t="s">
        <v>393</v>
      </c>
      <c r="E52" s="58" t="s">
        <v>240</v>
      </c>
      <c r="F52" s="62" t="s">
        <v>307</v>
      </c>
      <c r="G52" s="58" t="s">
        <v>916</v>
      </c>
    </row>
    <row r="53" spans="2:7" ht="45">
      <c r="B53" s="57" t="s">
        <v>400</v>
      </c>
      <c r="C53" s="58" t="s">
        <v>401</v>
      </c>
      <c r="D53" s="58" t="s">
        <v>393</v>
      </c>
      <c r="E53" s="58" t="s">
        <v>240</v>
      </c>
      <c r="F53" s="62" t="s">
        <v>307</v>
      </c>
      <c r="G53" s="58" t="s">
        <v>917</v>
      </c>
    </row>
    <row r="54" spans="2:7" ht="45">
      <c r="B54" s="57" t="s">
        <v>402</v>
      </c>
      <c r="C54" s="58" t="s">
        <v>403</v>
      </c>
      <c r="D54" s="58" t="s">
        <v>393</v>
      </c>
      <c r="E54" s="58" t="s">
        <v>206</v>
      </c>
      <c r="F54" s="63" t="s">
        <v>319</v>
      </c>
      <c r="G54" s="58" t="s">
        <v>918</v>
      </c>
    </row>
    <row r="55" spans="2:7" ht="45">
      <c r="B55" s="57" t="s">
        <v>404</v>
      </c>
      <c r="C55" s="58" t="s">
        <v>405</v>
      </c>
      <c r="D55" s="58" t="s">
        <v>393</v>
      </c>
      <c r="E55" s="58" t="s">
        <v>210</v>
      </c>
      <c r="F55" s="63" t="s">
        <v>319</v>
      </c>
      <c r="G55" s="58" t="s">
        <v>919</v>
      </c>
    </row>
    <row r="56" spans="2:7" ht="45">
      <c r="B56" s="57" t="s">
        <v>406</v>
      </c>
      <c r="C56" s="58" t="s">
        <v>407</v>
      </c>
      <c r="D56" s="58" t="s">
        <v>393</v>
      </c>
      <c r="E56" s="58" t="s">
        <v>240</v>
      </c>
      <c r="F56" s="62" t="s">
        <v>307</v>
      </c>
      <c r="G56" s="58" t="s">
        <v>920</v>
      </c>
    </row>
    <row r="57" spans="2:7" ht="45">
      <c r="B57" s="57" t="s">
        <v>408</v>
      </c>
      <c r="C57" s="58" t="s">
        <v>409</v>
      </c>
      <c r="D57" s="58" t="s">
        <v>393</v>
      </c>
      <c r="E57" s="58" t="s">
        <v>240</v>
      </c>
      <c r="F57" s="62" t="s">
        <v>307</v>
      </c>
      <c r="G57" s="58" t="s">
        <v>921</v>
      </c>
    </row>
    <row r="58" spans="2:7" ht="45">
      <c r="B58" s="57" t="s">
        <v>410</v>
      </c>
      <c r="C58" s="58" t="s">
        <v>411</v>
      </c>
      <c r="D58" s="58" t="s">
        <v>393</v>
      </c>
      <c r="E58" s="58" t="s">
        <v>240</v>
      </c>
      <c r="F58" s="62" t="s">
        <v>307</v>
      </c>
      <c r="G58" s="58" t="s">
        <v>922</v>
      </c>
    </row>
    <row r="59" spans="2:7" ht="45">
      <c r="B59" s="59" t="s">
        <v>412</v>
      </c>
      <c r="C59" s="60" t="s">
        <v>413</v>
      </c>
      <c r="D59" s="60" t="s">
        <v>414</v>
      </c>
      <c r="E59" s="60" t="s">
        <v>647</v>
      </c>
      <c r="F59" s="61" t="s">
        <v>304</v>
      </c>
      <c r="G59" s="60" t="s">
        <v>923</v>
      </c>
    </row>
    <row r="60" spans="2:7" ht="45">
      <c r="B60" s="59" t="s">
        <v>415</v>
      </c>
      <c r="C60" s="60" t="s">
        <v>416</v>
      </c>
      <c r="D60" s="60" t="s">
        <v>414</v>
      </c>
      <c r="E60" s="60" t="s">
        <v>194</v>
      </c>
      <c r="F60" s="61" t="s">
        <v>304</v>
      </c>
      <c r="G60" s="60" t="s">
        <v>924</v>
      </c>
    </row>
    <row r="61" spans="2:7" ht="45">
      <c r="B61" s="59" t="s">
        <v>417</v>
      </c>
      <c r="C61" s="60" t="s">
        <v>418</v>
      </c>
      <c r="D61" s="60" t="s">
        <v>414</v>
      </c>
      <c r="E61" s="60" t="s">
        <v>194</v>
      </c>
      <c r="F61" s="63" t="s">
        <v>319</v>
      </c>
      <c r="G61" s="60" t="s">
        <v>925</v>
      </c>
    </row>
    <row r="62" spans="2:7" ht="45">
      <c r="B62" s="59" t="s">
        <v>419</v>
      </c>
      <c r="C62" s="60" t="s">
        <v>420</v>
      </c>
      <c r="D62" s="60" t="s">
        <v>414</v>
      </c>
      <c r="E62" s="60" t="s">
        <v>663</v>
      </c>
      <c r="F62" s="63" t="s">
        <v>319</v>
      </c>
      <c r="G62" s="60" t="s">
        <v>926</v>
      </c>
    </row>
    <row r="63" spans="2:7" ht="45">
      <c r="B63" s="59" t="s">
        <v>421</v>
      </c>
      <c r="C63" s="60" t="s">
        <v>422</v>
      </c>
      <c r="D63" s="60" t="s">
        <v>414</v>
      </c>
      <c r="E63" s="60" t="s">
        <v>423</v>
      </c>
      <c r="F63" s="61" t="s">
        <v>304</v>
      </c>
      <c r="G63" s="60" t="s">
        <v>927</v>
      </c>
    </row>
    <row r="64" spans="2:7" ht="45">
      <c r="B64" s="59" t="s">
        <v>424</v>
      </c>
      <c r="C64" s="60" t="s">
        <v>425</v>
      </c>
      <c r="D64" s="60" t="s">
        <v>414</v>
      </c>
      <c r="E64" s="60" t="s">
        <v>426</v>
      </c>
      <c r="F64" s="63" t="s">
        <v>319</v>
      </c>
      <c r="G64" s="60" t="s">
        <v>928</v>
      </c>
    </row>
    <row r="65" spans="2:7" ht="45">
      <c r="B65" s="59" t="s">
        <v>427</v>
      </c>
      <c r="C65" s="60" t="s">
        <v>428</v>
      </c>
      <c r="D65" s="60" t="s">
        <v>414</v>
      </c>
      <c r="E65" s="60" t="s">
        <v>194</v>
      </c>
      <c r="F65" s="63" t="s">
        <v>319</v>
      </c>
      <c r="G65" s="60" t="s">
        <v>929</v>
      </c>
    </row>
    <row r="66" spans="2:7" ht="45">
      <c r="B66" s="59" t="s">
        <v>429</v>
      </c>
      <c r="C66" s="60" t="s">
        <v>430</v>
      </c>
      <c r="D66" s="60" t="s">
        <v>414</v>
      </c>
      <c r="E66" s="60" t="s">
        <v>431</v>
      </c>
      <c r="F66" s="63" t="s">
        <v>319</v>
      </c>
      <c r="G66" s="60" t="s">
        <v>930</v>
      </c>
    </row>
    <row r="67" spans="2:7" ht="45">
      <c r="B67" s="59" t="s">
        <v>432</v>
      </c>
      <c r="C67" s="60" t="s">
        <v>433</v>
      </c>
      <c r="D67" s="60" t="s">
        <v>414</v>
      </c>
      <c r="E67" s="60" t="s">
        <v>434</v>
      </c>
      <c r="F67" s="63" t="s">
        <v>319</v>
      </c>
      <c r="G67" s="60" t="s">
        <v>931</v>
      </c>
    </row>
    <row r="68" spans="2:7" ht="45">
      <c r="B68" s="59" t="s">
        <v>435</v>
      </c>
      <c r="C68" s="60" t="s">
        <v>436</v>
      </c>
      <c r="D68" s="60" t="s">
        <v>414</v>
      </c>
      <c r="E68" s="60" t="s">
        <v>437</v>
      </c>
      <c r="F68" s="63" t="s">
        <v>319</v>
      </c>
      <c r="G68" s="60" t="s">
        <v>932</v>
      </c>
    </row>
  </sheetData>
  <phoneticPr fontId="1"/>
  <conditionalFormatting sqref="F12:F68">
    <cfRule type="cellIs" priority="1" operator="between"/>
    <cfRule type="cellIs" priority="2" operator="equal">
      <formula>"Covered"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785D-9D99-436E-A04C-7BAFE9C5B1DD}">
  <sheetPr>
    <tabColor theme="4" tint="0.79998168889431442"/>
  </sheetPr>
  <dimension ref="A2:G45"/>
  <sheetViews>
    <sheetView zoomScale="85" zoomScaleNormal="85" workbookViewId="0">
      <selection activeCell="F13" sqref="F13"/>
    </sheetView>
  </sheetViews>
  <sheetFormatPr defaultRowHeight="18.75"/>
  <cols>
    <col min="1" max="1" width="4.625" customWidth="1"/>
    <col min="2" max="2" width="23.375" customWidth="1"/>
    <col min="3" max="3" width="35.125" customWidth="1"/>
    <col min="4" max="4" width="46.875" customWidth="1"/>
    <col min="7" max="7" width="76.125" customWidth="1"/>
  </cols>
  <sheetData>
    <row r="2" spans="1:7">
      <c r="A2" s="11" t="s">
        <v>438</v>
      </c>
    </row>
    <row r="3" spans="1:7">
      <c r="B3" s="7" t="s">
        <v>439</v>
      </c>
    </row>
    <row r="4" spans="1:7">
      <c r="B4" s="7" t="s">
        <v>712</v>
      </c>
    </row>
    <row r="6" spans="1:7">
      <c r="B6" s="8" t="s">
        <v>440</v>
      </c>
      <c r="C6" s="8">
        <v>34</v>
      </c>
    </row>
    <row r="7" spans="1:7">
      <c r="B7" s="8" t="s">
        <v>441</v>
      </c>
      <c r="C7" s="42">
        <f>COUNTIF(F12:F45,"Covered")</f>
        <v>32</v>
      </c>
      <c r="D7" s="42" t="str">
        <f>C7&amp;" / "&amp;C6&amp;" ("&amp;TEXT(C7/C6,"0%")&amp;")"</f>
        <v>32 / 34 (94%)</v>
      </c>
    </row>
    <row r="8" spans="1:7">
      <c r="B8" s="8" t="s">
        <v>293</v>
      </c>
      <c r="C8" s="45">
        <f>COUNTIF(F12:F45,"Partial")</f>
        <v>2</v>
      </c>
    </row>
    <row r="9" spans="1:7">
      <c r="B9" s="8" t="s">
        <v>442</v>
      </c>
      <c r="C9" s="43">
        <f>COUNTIF(F12:F45,"Gap")</f>
        <v>0</v>
      </c>
    </row>
    <row r="11" spans="1:7" ht="45">
      <c r="B11" s="46" t="s">
        <v>443</v>
      </c>
      <c r="C11" s="46" t="s">
        <v>444</v>
      </c>
      <c r="D11" s="46" t="s">
        <v>445</v>
      </c>
      <c r="E11" s="46" t="s">
        <v>297</v>
      </c>
      <c r="F11" s="46" t="s">
        <v>298</v>
      </c>
      <c r="G11" s="46" t="s">
        <v>299</v>
      </c>
    </row>
    <row r="12" spans="1:7" ht="30">
      <c r="B12" s="64" t="s">
        <v>446</v>
      </c>
      <c r="C12" s="65" t="s">
        <v>447</v>
      </c>
      <c r="D12" s="65" t="s">
        <v>448</v>
      </c>
      <c r="E12" s="65" t="s">
        <v>455</v>
      </c>
      <c r="F12" s="61" t="s">
        <v>304</v>
      </c>
      <c r="G12" s="65" t="s">
        <v>673</v>
      </c>
    </row>
    <row r="13" spans="1:7" ht="30">
      <c r="B13" s="64" t="s">
        <v>449</v>
      </c>
      <c r="C13" s="65" t="s">
        <v>450</v>
      </c>
      <c r="D13" s="65" t="s">
        <v>451</v>
      </c>
      <c r="E13" s="65" t="s">
        <v>610</v>
      </c>
      <c r="F13" s="61" t="s">
        <v>304</v>
      </c>
      <c r="G13" s="65" t="s">
        <v>674</v>
      </c>
    </row>
    <row r="14" spans="1:7" ht="45">
      <c r="B14" s="64" t="s">
        <v>452</v>
      </c>
      <c r="C14" s="65" t="s">
        <v>453</v>
      </c>
      <c r="D14" s="65" t="s">
        <v>454</v>
      </c>
      <c r="E14" s="65" t="s">
        <v>455</v>
      </c>
      <c r="F14" s="63" t="s">
        <v>319</v>
      </c>
      <c r="G14" s="65" t="s">
        <v>675</v>
      </c>
    </row>
    <row r="15" spans="1:7" ht="33.75">
      <c r="B15" s="64" t="s">
        <v>456</v>
      </c>
      <c r="C15" s="65" t="s">
        <v>457</v>
      </c>
      <c r="D15" s="65" t="s">
        <v>458</v>
      </c>
      <c r="E15" s="65" t="s">
        <v>459</v>
      </c>
      <c r="F15" s="61" t="s">
        <v>304</v>
      </c>
      <c r="G15" s="65" t="s">
        <v>676</v>
      </c>
    </row>
    <row r="16" spans="1:7" ht="56.25">
      <c r="B16" s="64" t="s">
        <v>460</v>
      </c>
      <c r="C16" s="65" t="s">
        <v>461</v>
      </c>
      <c r="D16" s="65" t="s">
        <v>462</v>
      </c>
      <c r="E16" s="65" t="s">
        <v>126</v>
      </c>
      <c r="F16" s="61" t="s">
        <v>304</v>
      </c>
      <c r="G16" s="65" t="s">
        <v>677</v>
      </c>
    </row>
    <row r="17" spans="2:7" ht="30">
      <c r="B17" s="64" t="s">
        <v>463</v>
      </c>
      <c r="C17" s="65" t="s">
        <v>464</v>
      </c>
      <c r="D17" s="65" t="s">
        <v>465</v>
      </c>
      <c r="E17" s="65" t="s">
        <v>164</v>
      </c>
      <c r="F17" s="61" t="s">
        <v>304</v>
      </c>
      <c r="G17" s="65" t="s">
        <v>678</v>
      </c>
    </row>
    <row r="18" spans="2:7" ht="56.25">
      <c r="B18" s="64" t="s">
        <v>466</v>
      </c>
      <c r="C18" s="65" t="s">
        <v>467</v>
      </c>
      <c r="D18" s="65" t="s">
        <v>468</v>
      </c>
      <c r="E18" s="65" t="s">
        <v>148</v>
      </c>
      <c r="F18" s="61" t="s">
        <v>304</v>
      </c>
      <c r="G18" s="65" t="s">
        <v>679</v>
      </c>
    </row>
    <row r="19" spans="2:7" ht="45">
      <c r="B19" s="64" t="s">
        <v>469</v>
      </c>
      <c r="C19" s="65" t="s">
        <v>470</v>
      </c>
      <c r="D19" s="65" t="s">
        <v>471</v>
      </c>
      <c r="E19" s="65" t="s">
        <v>144</v>
      </c>
      <c r="F19" s="61" t="s">
        <v>304</v>
      </c>
      <c r="G19" s="65" t="s">
        <v>680</v>
      </c>
    </row>
    <row r="20" spans="2:7" ht="56.25">
      <c r="B20" s="64" t="s">
        <v>472</v>
      </c>
      <c r="C20" s="65" t="s">
        <v>473</v>
      </c>
      <c r="D20" s="65" t="s">
        <v>474</v>
      </c>
      <c r="E20" s="65" t="s">
        <v>152</v>
      </c>
      <c r="F20" s="61" t="s">
        <v>304</v>
      </c>
      <c r="G20" s="65" t="s">
        <v>681</v>
      </c>
    </row>
    <row r="21" spans="2:7" ht="45">
      <c r="B21" s="64" t="s">
        <v>475</v>
      </c>
      <c r="C21" s="65" t="s">
        <v>476</v>
      </c>
      <c r="D21" s="65" t="s">
        <v>477</v>
      </c>
      <c r="E21" s="65" t="s">
        <v>478</v>
      </c>
      <c r="F21" s="61" t="s">
        <v>304</v>
      </c>
      <c r="G21" s="65" t="s">
        <v>682</v>
      </c>
    </row>
    <row r="22" spans="2:7" ht="60">
      <c r="B22" s="64" t="s">
        <v>479</v>
      </c>
      <c r="C22" s="65" t="s">
        <v>480</v>
      </c>
      <c r="D22" s="65" t="s">
        <v>481</v>
      </c>
      <c r="E22" s="65" t="s">
        <v>172</v>
      </c>
      <c r="F22" s="61" t="s">
        <v>304</v>
      </c>
      <c r="G22" s="65" t="s">
        <v>683</v>
      </c>
    </row>
    <row r="23" spans="2:7" ht="45">
      <c r="B23" s="64" t="s">
        <v>482</v>
      </c>
      <c r="C23" s="65" t="s">
        <v>483</v>
      </c>
      <c r="D23" s="65" t="s">
        <v>484</v>
      </c>
      <c r="E23" s="65" t="s">
        <v>168</v>
      </c>
      <c r="F23" s="61" t="s">
        <v>304</v>
      </c>
      <c r="G23" s="65" t="s">
        <v>684</v>
      </c>
    </row>
    <row r="24" spans="2:7" ht="45">
      <c r="B24" s="64" t="s">
        <v>485</v>
      </c>
      <c r="C24" s="65" t="s">
        <v>486</v>
      </c>
      <c r="D24" s="65" t="s">
        <v>487</v>
      </c>
      <c r="E24" s="65" t="s">
        <v>488</v>
      </c>
      <c r="F24" s="61" t="s">
        <v>304</v>
      </c>
      <c r="G24" s="65" t="s">
        <v>685</v>
      </c>
    </row>
    <row r="25" spans="2:7" ht="45">
      <c r="B25" s="64" t="s">
        <v>489</v>
      </c>
      <c r="C25" s="65" t="s">
        <v>490</v>
      </c>
      <c r="D25" s="65" t="s">
        <v>491</v>
      </c>
      <c r="E25" s="65" t="s">
        <v>160</v>
      </c>
      <c r="F25" s="61" t="s">
        <v>304</v>
      </c>
      <c r="G25" s="65" t="s">
        <v>686</v>
      </c>
    </row>
    <row r="26" spans="2:7" ht="56.25">
      <c r="B26" s="64" t="s">
        <v>492</v>
      </c>
      <c r="C26" s="65" t="s">
        <v>493</v>
      </c>
      <c r="D26" s="65" t="s">
        <v>494</v>
      </c>
      <c r="E26" s="65" t="s">
        <v>687</v>
      </c>
      <c r="F26" s="61" t="s">
        <v>304</v>
      </c>
      <c r="G26" s="65" t="s">
        <v>688</v>
      </c>
    </row>
    <row r="27" spans="2:7" ht="45">
      <c r="B27" s="64" t="s">
        <v>495</v>
      </c>
      <c r="C27" s="65" t="s">
        <v>496</v>
      </c>
      <c r="D27" s="65" t="s">
        <v>497</v>
      </c>
      <c r="E27" s="65" t="s">
        <v>689</v>
      </c>
      <c r="F27" s="61" t="s">
        <v>304</v>
      </c>
      <c r="G27" s="65" t="s">
        <v>690</v>
      </c>
    </row>
    <row r="28" spans="2:7" ht="60">
      <c r="B28" s="64" t="s">
        <v>499</v>
      </c>
      <c r="C28" s="65" t="s">
        <v>500</v>
      </c>
      <c r="D28" s="65" t="s">
        <v>501</v>
      </c>
      <c r="E28" s="65" t="s">
        <v>502</v>
      </c>
      <c r="F28" s="61" t="s">
        <v>304</v>
      </c>
      <c r="G28" s="65" t="s">
        <v>691</v>
      </c>
    </row>
    <row r="29" spans="2:7" ht="30">
      <c r="B29" s="64" t="s">
        <v>503</v>
      </c>
      <c r="C29" s="65" t="s">
        <v>504</v>
      </c>
      <c r="D29" s="65" t="s">
        <v>505</v>
      </c>
      <c r="E29" s="65" t="s">
        <v>206</v>
      </c>
      <c r="F29" s="61" t="s">
        <v>304</v>
      </c>
      <c r="G29" s="65" t="s">
        <v>692</v>
      </c>
    </row>
    <row r="30" spans="2:7" ht="60">
      <c r="B30" s="64" t="s">
        <v>506</v>
      </c>
      <c r="C30" s="65" t="s">
        <v>507</v>
      </c>
      <c r="D30" s="65" t="s">
        <v>508</v>
      </c>
      <c r="E30" s="65" t="s">
        <v>693</v>
      </c>
      <c r="F30" s="61" t="s">
        <v>304</v>
      </c>
      <c r="G30" s="65" t="s">
        <v>694</v>
      </c>
    </row>
    <row r="31" spans="2:7" ht="56.25">
      <c r="B31" s="66" t="s">
        <v>509</v>
      </c>
      <c r="C31" s="67" t="s">
        <v>510</v>
      </c>
      <c r="D31" s="67" t="s">
        <v>511</v>
      </c>
      <c r="E31" s="67" t="s">
        <v>695</v>
      </c>
      <c r="F31" s="61" t="s">
        <v>304</v>
      </c>
      <c r="G31" s="67" t="s">
        <v>696</v>
      </c>
    </row>
    <row r="32" spans="2:7" ht="30">
      <c r="B32" s="66" t="s">
        <v>512</v>
      </c>
      <c r="C32" s="67" t="s">
        <v>513</v>
      </c>
      <c r="D32" s="67" t="s">
        <v>514</v>
      </c>
      <c r="E32" s="67" t="s">
        <v>575</v>
      </c>
      <c r="F32" s="61" t="s">
        <v>304</v>
      </c>
      <c r="G32" s="67" t="s">
        <v>697</v>
      </c>
    </row>
    <row r="33" spans="2:7" ht="45">
      <c r="B33" s="66" t="s">
        <v>515</v>
      </c>
      <c r="C33" s="67" t="s">
        <v>516</v>
      </c>
      <c r="D33" s="67" t="s">
        <v>517</v>
      </c>
      <c r="E33" s="67" t="s">
        <v>518</v>
      </c>
      <c r="F33" s="63" t="s">
        <v>319</v>
      </c>
      <c r="G33" s="67" t="s">
        <v>698</v>
      </c>
    </row>
    <row r="34" spans="2:7" ht="45">
      <c r="B34" s="68" t="s">
        <v>519</v>
      </c>
      <c r="C34" s="69" t="s">
        <v>520</v>
      </c>
      <c r="D34" s="69" t="s">
        <v>521</v>
      </c>
      <c r="E34" s="69" t="s">
        <v>312</v>
      </c>
      <c r="F34" s="61" t="s">
        <v>304</v>
      </c>
      <c r="G34" s="69" t="s">
        <v>699</v>
      </c>
    </row>
    <row r="35" spans="2:7" ht="33.75">
      <c r="B35" s="68" t="s">
        <v>522</v>
      </c>
      <c r="C35" s="69" t="s">
        <v>523</v>
      </c>
      <c r="D35" s="69" t="s">
        <v>524</v>
      </c>
      <c r="E35" s="69" t="s">
        <v>190</v>
      </c>
      <c r="F35" s="61" t="s">
        <v>304</v>
      </c>
      <c r="G35" s="69" t="s">
        <v>700</v>
      </c>
    </row>
    <row r="36" spans="2:7" ht="30">
      <c r="B36" s="68" t="s">
        <v>525</v>
      </c>
      <c r="C36" s="69" t="s">
        <v>526</v>
      </c>
      <c r="D36" s="69" t="s">
        <v>527</v>
      </c>
      <c r="E36" s="69" t="s">
        <v>202</v>
      </c>
      <c r="F36" s="61" t="s">
        <v>304</v>
      </c>
      <c r="G36" s="69" t="s">
        <v>701</v>
      </c>
    </row>
    <row r="37" spans="2:7" ht="30">
      <c r="B37" s="68" t="s">
        <v>528</v>
      </c>
      <c r="C37" s="69" t="s">
        <v>529</v>
      </c>
      <c r="D37" s="69" t="s">
        <v>530</v>
      </c>
      <c r="E37" s="69" t="s">
        <v>186</v>
      </c>
      <c r="F37" s="61" t="s">
        <v>304</v>
      </c>
      <c r="G37" s="69" t="s">
        <v>702</v>
      </c>
    </row>
    <row r="38" spans="2:7" ht="45">
      <c r="B38" s="68" t="s">
        <v>531</v>
      </c>
      <c r="C38" s="69" t="s">
        <v>532</v>
      </c>
      <c r="D38" s="69" t="s">
        <v>533</v>
      </c>
      <c r="E38" s="69" t="s">
        <v>194</v>
      </c>
      <c r="F38" s="61" t="s">
        <v>304</v>
      </c>
      <c r="G38" s="69" t="s">
        <v>703</v>
      </c>
    </row>
    <row r="39" spans="2:7" ht="30">
      <c r="B39" s="68" t="s">
        <v>534</v>
      </c>
      <c r="C39" s="69" t="s">
        <v>535</v>
      </c>
      <c r="D39" s="69" t="s">
        <v>536</v>
      </c>
      <c r="E39" s="69" t="s">
        <v>647</v>
      </c>
      <c r="F39" s="61" t="s">
        <v>304</v>
      </c>
      <c r="G39" s="69" t="s">
        <v>704</v>
      </c>
    </row>
    <row r="40" spans="2:7" ht="30">
      <c r="B40" s="70" t="s">
        <v>537</v>
      </c>
      <c r="C40" s="71" t="s">
        <v>538</v>
      </c>
      <c r="D40" s="71" t="s">
        <v>539</v>
      </c>
      <c r="E40" s="71" t="s">
        <v>663</v>
      </c>
      <c r="F40" s="61" t="s">
        <v>304</v>
      </c>
      <c r="G40" s="71" t="s">
        <v>705</v>
      </c>
    </row>
    <row r="41" spans="2:7" ht="45">
      <c r="B41" s="70" t="s">
        <v>540</v>
      </c>
      <c r="C41" s="71" t="s">
        <v>541</v>
      </c>
      <c r="D41" s="71" t="s">
        <v>542</v>
      </c>
      <c r="E41" s="71" t="s">
        <v>455</v>
      </c>
      <c r="F41" s="61" t="s">
        <v>304</v>
      </c>
      <c r="G41" s="71" t="s">
        <v>706</v>
      </c>
    </row>
    <row r="42" spans="2:7" ht="45">
      <c r="B42" s="70" t="s">
        <v>543</v>
      </c>
      <c r="C42" s="71" t="s">
        <v>544</v>
      </c>
      <c r="D42" s="71" t="s">
        <v>545</v>
      </c>
      <c r="E42" s="71" t="s">
        <v>634</v>
      </c>
      <c r="F42" s="61" t="s">
        <v>304</v>
      </c>
      <c r="G42" s="71" t="s">
        <v>707</v>
      </c>
    </row>
    <row r="43" spans="2:7" ht="45">
      <c r="B43" s="70" t="s">
        <v>546</v>
      </c>
      <c r="C43" s="71" t="s">
        <v>547</v>
      </c>
      <c r="D43" s="71" t="s">
        <v>548</v>
      </c>
      <c r="E43" s="71" t="s">
        <v>638</v>
      </c>
      <c r="F43" s="61" t="s">
        <v>304</v>
      </c>
      <c r="G43" s="71" t="s">
        <v>708</v>
      </c>
    </row>
    <row r="44" spans="2:7" ht="60">
      <c r="B44" s="70" t="s">
        <v>549</v>
      </c>
      <c r="C44" s="71" t="s">
        <v>550</v>
      </c>
      <c r="D44" s="71" t="s">
        <v>551</v>
      </c>
      <c r="E44" s="71" t="s">
        <v>709</v>
      </c>
      <c r="F44" s="61" t="s">
        <v>304</v>
      </c>
      <c r="G44" s="71" t="s">
        <v>710</v>
      </c>
    </row>
    <row r="45" spans="2:7" ht="45">
      <c r="B45" s="70" t="s">
        <v>552</v>
      </c>
      <c r="C45" s="71" t="s">
        <v>553</v>
      </c>
      <c r="D45" s="71" t="s">
        <v>554</v>
      </c>
      <c r="E45" s="71" t="s">
        <v>659</v>
      </c>
      <c r="F45" s="61" t="s">
        <v>304</v>
      </c>
      <c r="G45" s="71" t="s">
        <v>711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155FB-492C-4B2F-BBA3-A2FD2E04C228}">
  <sheetPr>
    <tabColor theme="4" tint="0.79998168889431442"/>
  </sheetPr>
  <dimension ref="B2:H59"/>
  <sheetViews>
    <sheetView zoomScale="85" zoomScaleNormal="85" workbookViewId="0">
      <pane ySplit="7" topLeftCell="A14" activePane="bottomLeft" state="frozen"/>
      <selection activeCell="F13" sqref="F13"/>
      <selection pane="bottomLeft" activeCell="F13" sqref="F13"/>
    </sheetView>
  </sheetViews>
  <sheetFormatPr defaultRowHeight="18.75"/>
  <cols>
    <col min="1" max="1" width="4" customWidth="1"/>
    <col min="2" max="2" width="15.5" customWidth="1"/>
    <col min="3" max="3" width="45.875" bestFit="1" customWidth="1"/>
    <col min="4" max="4" width="29.625" bestFit="1" customWidth="1"/>
    <col min="5" max="5" width="44.125" customWidth="1"/>
    <col min="6" max="6" width="23.875" customWidth="1"/>
    <col min="7" max="7" width="28.625" customWidth="1"/>
    <col min="8" max="8" width="29.125" customWidth="1"/>
  </cols>
  <sheetData>
    <row r="2" spans="2:8" ht="20.25">
      <c r="B2" s="89" t="s">
        <v>713</v>
      </c>
    </row>
    <row r="3" spans="2:8">
      <c r="B3" s="7" t="s">
        <v>714</v>
      </c>
    </row>
    <row r="5" spans="2:8">
      <c r="B5" s="8" t="s">
        <v>715</v>
      </c>
      <c r="C5" s="90" t="s">
        <v>716</v>
      </c>
      <c r="D5" s="91" t="s">
        <v>717</v>
      </c>
      <c r="E5" s="92" t="s">
        <v>718</v>
      </c>
      <c r="F5" s="93" t="s">
        <v>719</v>
      </c>
    </row>
    <row r="7" spans="2:8">
      <c r="B7" s="46" t="s">
        <v>106</v>
      </c>
      <c r="C7" s="46" t="s">
        <v>720</v>
      </c>
      <c r="D7" s="46" t="s">
        <v>721</v>
      </c>
      <c r="E7" s="46" t="s">
        <v>722</v>
      </c>
      <c r="F7" s="46" t="s">
        <v>723</v>
      </c>
      <c r="G7" s="46" t="s">
        <v>724</v>
      </c>
      <c r="H7" s="46" t="s">
        <v>725</v>
      </c>
    </row>
    <row r="8" spans="2:8" ht="45">
      <c r="B8" s="118" t="s">
        <v>726</v>
      </c>
      <c r="C8" s="17" t="s">
        <v>727</v>
      </c>
      <c r="D8" s="98" t="s">
        <v>728</v>
      </c>
      <c r="E8" s="12" t="s">
        <v>729</v>
      </c>
      <c r="F8" s="12" t="s">
        <v>730</v>
      </c>
      <c r="G8" s="99" t="s">
        <v>731</v>
      </c>
      <c r="H8" s="12" t="s">
        <v>732</v>
      </c>
    </row>
    <row r="9" spans="2:8" ht="30">
      <c r="B9" s="118"/>
      <c r="C9" s="17" t="s">
        <v>733</v>
      </c>
      <c r="D9" s="100" t="s">
        <v>734</v>
      </c>
      <c r="E9" s="12" t="s">
        <v>735</v>
      </c>
      <c r="F9" s="12" t="s">
        <v>736</v>
      </c>
      <c r="G9" s="99" t="s">
        <v>737</v>
      </c>
      <c r="H9" s="12" t="s">
        <v>738</v>
      </c>
    </row>
    <row r="10" spans="2:8" ht="45">
      <c r="B10" s="118"/>
      <c r="C10" s="17" t="s">
        <v>739</v>
      </c>
      <c r="D10" s="101" t="s">
        <v>740</v>
      </c>
      <c r="E10" s="12" t="s">
        <v>741</v>
      </c>
      <c r="F10" s="12" t="s">
        <v>742</v>
      </c>
      <c r="G10" s="99" t="s">
        <v>743</v>
      </c>
      <c r="H10" s="12" t="s">
        <v>744</v>
      </c>
    </row>
    <row r="11" spans="2:8" ht="75">
      <c r="B11" s="119" t="s">
        <v>745</v>
      </c>
      <c r="C11" s="17" t="s">
        <v>746</v>
      </c>
      <c r="D11" s="98" t="s">
        <v>728</v>
      </c>
      <c r="E11" s="12" t="s">
        <v>747</v>
      </c>
      <c r="F11" s="12" t="s">
        <v>748</v>
      </c>
      <c r="G11" s="99" t="s">
        <v>498</v>
      </c>
      <c r="H11" s="12" t="s">
        <v>749</v>
      </c>
    </row>
    <row r="12" spans="2:8" ht="75">
      <c r="B12" s="119"/>
      <c r="C12" s="17" t="s">
        <v>750</v>
      </c>
      <c r="D12" s="98" t="s">
        <v>728</v>
      </c>
      <c r="E12" s="12" t="s">
        <v>751</v>
      </c>
      <c r="F12" s="12" t="s">
        <v>752</v>
      </c>
      <c r="G12" s="99" t="s">
        <v>152</v>
      </c>
      <c r="H12" s="12" t="s">
        <v>753</v>
      </c>
    </row>
    <row r="13" spans="2:8" ht="93.75">
      <c r="B13" s="119"/>
      <c r="C13" s="17" t="s">
        <v>754</v>
      </c>
      <c r="D13" s="101" t="s">
        <v>740</v>
      </c>
      <c r="E13" s="12" t="s">
        <v>755</v>
      </c>
      <c r="F13" s="12" t="s">
        <v>756</v>
      </c>
      <c r="G13" s="99" t="s">
        <v>757</v>
      </c>
      <c r="H13" s="12" t="s">
        <v>758</v>
      </c>
    </row>
    <row r="14" spans="2:8" ht="75">
      <c r="B14" s="119"/>
      <c r="C14" s="17" t="s">
        <v>759</v>
      </c>
      <c r="D14" s="100" t="s">
        <v>734</v>
      </c>
      <c r="E14" s="12" t="s">
        <v>760</v>
      </c>
      <c r="F14" s="12" t="s">
        <v>761</v>
      </c>
      <c r="G14" s="99" t="s">
        <v>687</v>
      </c>
      <c r="H14" s="12" t="s">
        <v>762</v>
      </c>
    </row>
    <row r="15" spans="2:8" ht="60">
      <c r="B15" s="119"/>
      <c r="C15" s="17" t="s">
        <v>763</v>
      </c>
      <c r="D15" s="100" t="s">
        <v>734</v>
      </c>
      <c r="E15" s="12" t="s">
        <v>764</v>
      </c>
      <c r="F15" s="12" t="s">
        <v>765</v>
      </c>
      <c r="G15" s="99" t="s">
        <v>766</v>
      </c>
      <c r="H15" s="12" t="s">
        <v>767</v>
      </c>
    </row>
    <row r="16" spans="2:8" ht="75">
      <c r="B16" s="119"/>
      <c r="C16" s="17" t="s">
        <v>768</v>
      </c>
      <c r="D16" s="98" t="s">
        <v>728</v>
      </c>
      <c r="E16" s="12" t="s">
        <v>769</v>
      </c>
      <c r="F16" s="12" t="s">
        <v>770</v>
      </c>
      <c r="G16" s="99" t="s">
        <v>771</v>
      </c>
      <c r="H16" s="12" t="s">
        <v>772</v>
      </c>
    </row>
    <row r="17" spans="2:8" ht="90">
      <c r="B17" s="120" t="s">
        <v>773</v>
      </c>
      <c r="C17" s="17" t="s">
        <v>774</v>
      </c>
      <c r="D17" s="98" t="s">
        <v>728</v>
      </c>
      <c r="E17" s="12" t="s">
        <v>775</v>
      </c>
      <c r="F17" s="12" t="s">
        <v>776</v>
      </c>
      <c r="G17" s="99" t="s">
        <v>777</v>
      </c>
      <c r="H17" s="12" t="s">
        <v>778</v>
      </c>
    </row>
    <row r="18" spans="2:8" ht="60">
      <c r="B18" s="120"/>
      <c r="C18" s="17" t="s">
        <v>779</v>
      </c>
      <c r="D18" s="98" t="s">
        <v>728</v>
      </c>
      <c r="E18" s="12" t="s">
        <v>780</v>
      </c>
      <c r="F18" s="12" t="s">
        <v>781</v>
      </c>
      <c r="G18" s="99" t="s">
        <v>782</v>
      </c>
      <c r="H18" s="12" t="s">
        <v>783</v>
      </c>
    </row>
    <row r="19" spans="2:8" ht="75">
      <c r="B19" s="120"/>
      <c r="C19" s="17" t="s">
        <v>784</v>
      </c>
      <c r="D19" s="98" t="s">
        <v>728</v>
      </c>
      <c r="E19" s="12" t="s">
        <v>785</v>
      </c>
      <c r="F19" s="12" t="s">
        <v>786</v>
      </c>
      <c r="G19" s="99" t="s">
        <v>787</v>
      </c>
      <c r="H19" s="12" t="s">
        <v>788</v>
      </c>
    </row>
    <row r="20" spans="2:8" ht="60">
      <c r="B20" s="120"/>
      <c r="C20" s="17" t="s">
        <v>789</v>
      </c>
      <c r="D20" s="98" t="s">
        <v>728</v>
      </c>
      <c r="E20" s="12" t="s">
        <v>790</v>
      </c>
      <c r="F20" s="12" t="s">
        <v>791</v>
      </c>
      <c r="G20" s="99" t="s">
        <v>198</v>
      </c>
      <c r="H20" s="12" t="s">
        <v>792</v>
      </c>
    </row>
    <row r="21" spans="2:8" ht="60">
      <c r="B21" s="120"/>
      <c r="C21" s="17" t="s">
        <v>793</v>
      </c>
      <c r="D21" s="98" t="s">
        <v>728</v>
      </c>
      <c r="E21" s="12" t="s">
        <v>794</v>
      </c>
      <c r="F21" s="12" t="s">
        <v>795</v>
      </c>
      <c r="G21" s="99" t="s">
        <v>322</v>
      </c>
      <c r="H21" s="12" t="s">
        <v>796</v>
      </c>
    </row>
    <row r="22" spans="2:8" ht="60">
      <c r="B22" s="121" t="s">
        <v>797</v>
      </c>
      <c r="C22" s="17" t="s">
        <v>798</v>
      </c>
      <c r="D22" s="98" t="s">
        <v>728</v>
      </c>
      <c r="E22" s="12" t="s">
        <v>799</v>
      </c>
      <c r="F22" s="12" t="s">
        <v>800</v>
      </c>
      <c r="G22" s="99" t="s">
        <v>390</v>
      </c>
      <c r="H22" s="12" t="s">
        <v>801</v>
      </c>
    </row>
    <row r="23" spans="2:8" ht="60">
      <c r="B23" s="121"/>
      <c r="C23" s="17" t="s">
        <v>802</v>
      </c>
      <c r="D23" s="98" t="s">
        <v>728</v>
      </c>
      <c r="E23" s="12" t="s">
        <v>803</v>
      </c>
      <c r="F23" s="12" t="s">
        <v>804</v>
      </c>
      <c r="G23" s="99" t="s">
        <v>659</v>
      </c>
      <c r="H23" s="12" t="s">
        <v>805</v>
      </c>
    </row>
    <row r="24" spans="2:8" ht="75">
      <c r="B24" s="121"/>
      <c r="C24" s="17" t="s">
        <v>806</v>
      </c>
      <c r="D24" s="98" t="s">
        <v>728</v>
      </c>
      <c r="E24" s="12" t="s">
        <v>807</v>
      </c>
      <c r="F24" s="12" t="s">
        <v>808</v>
      </c>
      <c r="G24" s="99" t="s">
        <v>809</v>
      </c>
      <c r="H24" s="12" t="s">
        <v>810</v>
      </c>
    </row>
    <row r="25" spans="2:8" ht="60">
      <c r="B25" s="103" t="s">
        <v>811</v>
      </c>
      <c r="C25" s="17" t="s">
        <v>812</v>
      </c>
      <c r="D25" s="102" t="s">
        <v>813</v>
      </c>
      <c r="E25" s="12" t="s">
        <v>814</v>
      </c>
      <c r="F25" s="12" t="s">
        <v>815</v>
      </c>
      <c r="G25" s="99" t="s">
        <v>182</v>
      </c>
      <c r="H25" s="12" t="s">
        <v>816</v>
      </c>
    </row>
    <row r="27" spans="2:8">
      <c r="B27" s="94" t="s">
        <v>817</v>
      </c>
    </row>
    <row r="28" spans="2:8">
      <c r="B28" s="7" t="s">
        <v>818</v>
      </c>
      <c r="C28" s="95" t="s">
        <v>819</v>
      </c>
    </row>
    <row r="29" spans="2:8">
      <c r="B29" s="7" t="s">
        <v>820</v>
      </c>
      <c r="C29" s="96" t="s">
        <v>821</v>
      </c>
    </row>
    <row r="30" spans="2:8">
      <c r="B30" s="7" t="s">
        <v>822</v>
      </c>
      <c r="C30" s="96" t="s">
        <v>823</v>
      </c>
    </row>
    <row r="31" spans="2:8">
      <c r="B31" s="7" t="s">
        <v>824</v>
      </c>
      <c r="C31" s="96" t="s">
        <v>825</v>
      </c>
    </row>
    <row r="32" spans="2:8">
      <c r="B32" s="7" t="s">
        <v>826</v>
      </c>
      <c r="C32" s="96" t="s">
        <v>827</v>
      </c>
    </row>
    <row r="33" spans="2:4">
      <c r="B33" s="7" t="s">
        <v>828</v>
      </c>
      <c r="C33" s="96" t="s">
        <v>829</v>
      </c>
    </row>
    <row r="34" spans="2:4">
      <c r="B34" s="7" t="s">
        <v>830</v>
      </c>
      <c r="C34" s="96" t="s">
        <v>831</v>
      </c>
    </row>
    <row r="35" spans="2:4">
      <c r="B35" s="7" t="s">
        <v>832</v>
      </c>
      <c r="C35" s="96" t="s">
        <v>833</v>
      </c>
    </row>
    <row r="36" spans="2:4">
      <c r="B36" s="7" t="s">
        <v>834</v>
      </c>
      <c r="C36" s="96" t="s">
        <v>835</v>
      </c>
    </row>
    <row r="37" spans="2:4">
      <c r="B37" s="7" t="s">
        <v>836</v>
      </c>
      <c r="C37" s="96" t="s">
        <v>837</v>
      </c>
    </row>
    <row r="39" spans="2:4">
      <c r="B39" s="94" t="s">
        <v>838</v>
      </c>
    </row>
    <row r="40" spans="2:4" ht="19.5" thickBot="1">
      <c r="B40" s="105" t="s">
        <v>839</v>
      </c>
      <c r="C40" s="105" t="s">
        <v>840</v>
      </c>
      <c r="D40" s="105" t="s">
        <v>841</v>
      </c>
    </row>
    <row r="41" spans="2:4">
      <c r="B41" s="7" t="s">
        <v>842</v>
      </c>
      <c r="C41" s="7" t="s">
        <v>731</v>
      </c>
      <c r="D41" s="7">
        <v>6</v>
      </c>
    </row>
    <row r="42" spans="2:4">
      <c r="B42" s="104" t="s">
        <v>843</v>
      </c>
      <c r="C42" s="104" t="s">
        <v>844</v>
      </c>
      <c r="D42" s="104">
        <v>1</v>
      </c>
    </row>
    <row r="43" spans="2:4">
      <c r="B43" s="92" t="s">
        <v>845</v>
      </c>
      <c r="C43" s="92" t="s">
        <v>846</v>
      </c>
      <c r="D43" s="92">
        <v>3</v>
      </c>
    </row>
    <row r="44" spans="2:4">
      <c r="B44" s="104" t="s">
        <v>847</v>
      </c>
      <c r="C44" s="104" t="s">
        <v>498</v>
      </c>
      <c r="D44" s="104">
        <v>4</v>
      </c>
    </row>
    <row r="45" spans="2:4">
      <c r="B45" s="7" t="s">
        <v>848</v>
      </c>
      <c r="C45" s="7" t="s">
        <v>152</v>
      </c>
      <c r="D45" s="7">
        <v>1</v>
      </c>
    </row>
    <row r="46" spans="2:4">
      <c r="B46" s="104" t="s">
        <v>849</v>
      </c>
      <c r="C46" s="104" t="s">
        <v>757</v>
      </c>
      <c r="D46" s="104">
        <v>4</v>
      </c>
    </row>
    <row r="47" spans="2:4">
      <c r="B47" s="91" t="s">
        <v>850</v>
      </c>
      <c r="C47" s="91" t="s">
        <v>687</v>
      </c>
      <c r="D47" s="91">
        <v>2</v>
      </c>
    </row>
    <row r="48" spans="2:4">
      <c r="B48" s="104" t="s">
        <v>851</v>
      </c>
      <c r="C48" s="104" t="s">
        <v>766</v>
      </c>
      <c r="D48" s="104">
        <v>2</v>
      </c>
    </row>
    <row r="49" spans="2:4">
      <c r="B49" s="7" t="s">
        <v>852</v>
      </c>
      <c r="C49" s="7" t="s">
        <v>771</v>
      </c>
      <c r="D49" s="7">
        <v>4</v>
      </c>
    </row>
    <row r="50" spans="2:4">
      <c r="B50" s="104" t="s">
        <v>853</v>
      </c>
      <c r="C50" s="104" t="s">
        <v>777</v>
      </c>
      <c r="D50" s="104">
        <v>5</v>
      </c>
    </row>
    <row r="51" spans="2:4">
      <c r="B51" s="7" t="s">
        <v>854</v>
      </c>
      <c r="C51" s="7" t="s">
        <v>312</v>
      </c>
      <c r="D51" s="7">
        <v>3</v>
      </c>
    </row>
    <row r="52" spans="2:4">
      <c r="B52" s="104" t="s">
        <v>855</v>
      </c>
      <c r="C52" s="104" t="s">
        <v>787</v>
      </c>
      <c r="D52" s="104">
        <v>2</v>
      </c>
    </row>
    <row r="53" spans="2:4">
      <c r="B53" s="7" t="s">
        <v>856</v>
      </c>
      <c r="C53" s="7" t="s">
        <v>198</v>
      </c>
      <c r="D53" s="7">
        <v>1</v>
      </c>
    </row>
    <row r="54" spans="2:4">
      <c r="B54" s="104" t="s">
        <v>857</v>
      </c>
      <c r="C54" s="104" t="s">
        <v>322</v>
      </c>
      <c r="D54" s="104">
        <v>2</v>
      </c>
    </row>
    <row r="55" spans="2:4">
      <c r="B55" s="7" t="s">
        <v>858</v>
      </c>
      <c r="C55" s="7" t="s">
        <v>390</v>
      </c>
      <c r="D55" s="7">
        <v>2</v>
      </c>
    </row>
    <row r="56" spans="2:4">
      <c r="B56" s="104" t="s">
        <v>859</v>
      </c>
      <c r="C56" s="104" t="s">
        <v>659</v>
      </c>
      <c r="D56" s="104">
        <v>1</v>
      </c>
    </row>
    <row r="57" spans="2:4">
      <c r="B57" s="7" t="s">
        <v>806</v>
      </c>
      <c r="C57" s="7" t="s">
        <v>809</v>
      </c>
      <c r="D57" s="7">
        <v>4</v>
      </c>
    </row>
    <row r="58" spans="2:4">
      <c r="B58" s="104" t="s">
        <v>860</v>
      </c>
      <c r="C58" s="104" t="s">
        <v>182</v>
      </c>
      <c r="D58" s="104">
        <v>1</v>
      </c>
    </row>
    <row r="59" spans="2:4">
      <c r="B59" s="97" t="s">
        <v>861</v>
      </c>
    </row>
  </sheetData>
  <mergeCells count="4">
    <mergeCell ref="B8:B10"/>
    <mergeCell ref="B11:B16"/>
    <mergeCell ref="B17:B21"/>
    <mergeCell ref="B22:B24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B2:Z48"/>
  <sheetViews>
    <sheetView workbookViewId="0"/>
  </sheetViews>
  <sheetFormatPr defaultRowHeight="18.75"/>
  <cols>
    <col min="2" max="2" width="9.75" bestFit="1" customWidth="1"/>
  </cols>
  <sheetData>
    <row r="2" spans="2:8">
      <c r="B2" s="1" t="s">
        <v>24</v>
      </c>
    </row>
    <row r="3" spans="2:8">
      <c r="B3" s="3" t="s">
        <v>25</v>
      </c>
    </row>
    <row r="4" spans="2:8">
      <c r="B4" t="s">
        <v>23</v>
      </c>
    </row>
    <row r="5" spans="2:8">
      <c r="B5" t="s">
        <v>26</v>
      </c>
    </row>
    <row r="6" spans="2:8">
      <c r="B6" s="2"/>
    </row>
    <row r="7" spans="2:8">
      <c r="B7" t="s">
        <v>0</v>
      </c>
    </row>
    <row r="9" spans="2:8">
      <c r="C9" t="s">
        <v>1</v>
      </c>
    </row>
    <row r="10" spans="2:8">
      <c r="C10" t="s">
        <v>7</v>
      </c>
      <c r="H10" t="s">
        <v>31</v>
      </c>
    </row>
    <row r="11" spans="2:8">
      <c r="C11" t="s">
        <v>4</v>
      </c>
      <c r="H11" t="s">
        <v>32</v>
      </c>
    </row>
    <row r="12" spans="2:8">
      <c r="C12" t="s">
        <v>5</v>
      </c>
      <c r="H12" t="s">
        <v>33</v>
      </c>
    </row>
    <row r="13" spans="2:8">
      <c r="C13" t="s">
        <v>2</v>
      </c>
      <c r="H13" t="s">
        <v>43</v>
      </c>
    </row>
    <row r="14" spans="2:8">
      <c r="C14" t="s">
        <v>8</v>
      </c>
      <c r="H14" t="s">
        <v>42</v>
      </c>
    </row>
    <row r="15" spans="2:8">
      <c r="C15" t="s">
        <v>9</v>
      </c>
      <c r="H15" t="s">
        <v>34</v>
      </c>
    </row>
    <row r="16" spans="2:8">
      <c r="C16" t="s">
        <v>10</v>
      </c>
      <c r="H16" t="s">
        <v>41</v>
      </c>
    </row>
    <row r="17" spans="2:26">
      <c r="C17" t="s">
        <v>22</v>
      </c>
      <c r="H17" t="s">
        <v>43</v>
      </c>
    </row>
    <row r="18" spans="2:26">
      <c r="C18" t="s">
        <v>6</v>
      </c>
      <c r="H18" t="s">
        <v>36</v>
      </c>
    </row>
    <row r="19" spans="2:26">
      <c r="C19" t="s">
        <v>3</v>
      </c>
      <c r="H19" t="s">
        <v>44</v>
      </c>
    </row>
    <row r="20" spans="2:26">
      <c r="H20" s="5" t="s">
        <v>46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2:26">
      <c r="C21" t="s">
        <v>11</v>
      </c>
      <c r="H21" t="s">
        <v>35</v>
      </c>
    </row>
    <row r="22" spans="2:26">
      <c r="C22" s="4" t="s">
        <v>12</v>
      </c>
    </row>
    <row r="23" spans="2:26">
      <c r="C23" t="s">
        <v>16</v>
      </c>
      <c r="H23" s="5" t="s">
        <v>47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5" spans="2:26">
      <c r="B25" t="s">
        <v>13</v>
      </c>
    </row>
    <row r="27" spans="2:26">
      <c r="C27" t="s">
        <v>14</v>
      </c>
      <c r="H27" t="s">
        <v>37</v>
      </c>
    </row>
    <row r="28" spans="2:26">
      <c r="C28" t="s">
        <v>18</v>
      </c>
      <c r="H28" t="s">
        <v>40</v>
      </c>
    </row>
    <row r="29" spans="2:26">
      <c r="C29" t="s">
        <v>15</v>
      </c>
      <c r="H29" t="s">
        <v>38</v>
      </c>
    </row>
    <row r="32" spans="2:26">
      <c r="B32" t="s">
        <v>17</v>
      </c>
    </row>
    <row r="34" spans="2:8">
      <c r="C34" t="s">
        <v>14</v>
      </c>
      <c r="H34" t="s">
        <v>37</v>
      </c>
    </row>
    <row r="37" spans="2:8">
      <c r="B37" t="s">
        <v>19</v>
      </c>
    </row>
    <row r="39" spans="2:8">
      <c r="C39" t="s">
        <v>21</v>
      </c>
      <c r="H39" t="s">
        <v>39</v>
      </c>
    </row>
    <row r="41" spans="2:8">
      <c r="B41" t="s">
        <v>20</v>
      </c>
      <c r="H41" t="s">
        <v>45</v>
      </c>
    </row>
    <row r="44" spans="2:8">
      <c r="B44" t="s">
        <v>27</v>
      </c>
    </row>
    <row r="46" spans="2:8">
      <c r="C46" t="s">
        <v>28</v>
      </c>
    </row>
    <row r="47" spans="2:8">
      <c r="C47" t="s">
        <v>29</v>
      </c>
    </row>
    <row r="48" spans="2:8">
      <c r="C48" t="s">
        <v>30</v>
      </c>
    </row>
  </sheetData>
  <phoneticPr fontId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FCFBD-5C02-440E-8655-EB4C0A387918}">
  <sheetPr>
    <tabColor theme="0" tint="-0.499984740745262"/>
  </sheetPr>
  <dimension ref="A2:G60"/>
  <sheetViews>
    <sheetView workbookViewId="0">
      <selection activeCell="H22" sqref="H22"/>
    </sheetView>
  </sheetViews>
  <sheetFormatPr defaultColWidth="8.625" defaultRowHeight="14.25"/>
  <cols>
    <col min="1" max="1" width="3.375" style="13" customWidth="1"/>
    <col min="2" max="2" width="8.625" style="13"/>
    <col min="3" max="3" width="10.5" style="13" bestFit="1" customWidth="1"/>
    <col min="4" max="4" width="36.875" style="13" customWidth="1"/>
    <col min="5" max="5" width="55.25" style="13" customWidth="1"/>
    <col min="6" max="6" width="26.625" style="13" customWidth="1"/>
    <col min="7" max="7" width="13.125" style="13" customWidth="1"/>
    <col min="8" max="16384" width="8.625" style="13"/>
  </cols>
  <sheetData>
    <row r="2" spans="1:7" ht="15.75">
      <c r="A2" s="14" t="s">
        <v>101</v>
      </c>
      <c r="C2" s="15"/>
      <c r="D2" s="15"/>
      <c r="E2" s="15"/>
      <c r="F2" s="15"/>
      <c r="G2" s="15"/>
    </row>
    <row r="3" spans="1:7">
      <c r="B3" s="16" t="s">
        <v>102</v>
      </c>
      <c r="C3" s="15"/>
      <c r="D3" s="15"/>
      <c r="E3" s="15"/>
      <c r="F3" s="15"/>
      <c r="G3" s="15"/>
    </row>
    <row r="4" spans="1:7">
      <c r="B4" s="16" t="s">
        <v>287</v>
      </c>
      <c r="C4" s="15"/>
      <c r="D4" s="15"/>
      <c r="E4" s="15"/>
      <c r="F4" s="15"/>
      <c r="G4" s="15"/>
    </row>
    <row r="5" spans="1:7">
      <c r="B5" s="16" t="s">
        <v>103</v>
      </c>
      <c r="C5" s="15"/>
      <c r="D5" s="15"/>
      <c r="E5" s="15"/>
      <c r="F5" s="15"/>
      <c r="G5" s="15"/>
    </row>
    <row r="6" spans="1:7">
      <c r="B6" s="16" t="s">
        <v>104</v>
      </c>
      <c r="C6" s="15"/>
      <c r="D6" s="15"/>
      <c r="E6" s="15"/>
      <c r="F6" s="15"/>
      <c r="G6" s="15"/>
    </row>
    <row r="7" spans="1:7">
      <c r="B7" s="16"/>
      <c r="C7" s="15"/>
      <c r="D7" s="15"/>
      <c r="E7" s="15"/>
      <c r="F7" s="15"/>
      <c r="G7" s="15"/>
    </row>
    <row r="8" spans="1:7" ht="15">
      <c r="B8" s="19" t="s">
        <v>105</v>
      </c>
      <c r="C8" s="20" t="s">
        <v>106</v>
      </c>
      <c r="D8" s="20" t="s">
        <v>107</v>
      </c>
      <c r="E8" s="20" t="s">
        <v>108</v>
      </c>
      <c r="F8" s="20" t="s">
        <v>109</v>
      </c>
      <c r="G8" s="20" t="s">
        <v>110</v>
      </c>
    </row>
    <row r="9" spans="1:7" ht="15">
      <c r="B9" s="23" t="s">
        <v>111</v>
      </c>
      <c r="C9" s="24"/>
      <c r="D9" s="24"/>
      <c r="E9" s="24"/>
      <c r="F9" s="24"/>
      <c r="G9" s="25"/>
    </row>
    <row r="10" spans="1:7" ht="28.5">
      <c r="B10" s="21" t="s">
        <v>112</v>
      </c>
      <c r="C10" s="22" t="s">
        <v>113</v>
      </c>
      <c r="D10" s="22" t="s">
        <v>114</v>
      </c>
      <c r="E10" s="22" t="s">
        <v>115</v>
      </c>
      <c r="F10" s="22" t="s">
        <v>116</v>
      </c>
      <c r="G10" s="22" t="s">
        <v>117</v>
      </c>
    </row>
    <row r="11" spans="1:7" ht="28.5">
      <c r="B11" s="21" t="s">
        <v>118</v>
      </c>
      <c r="C11" s="22" t="s">
        <v>113</v>
      </c>
      <c r="D11" s="22" t="s">
        <v>119</v>
      </c>
      <c r="E11" s="22" t="s">
        <v>120</v>
      </c>
      <c r="F11" s="22" t="s">
        <v>121</v>
      </c>
      <c r="G11" s="22" t="s">
        <v>117</v>
      </c>
    </row>
    <row r="12" spans="1:7" ht="28.5">
      <c r="B12" s="21" t="s">
        <v>122</v>
      </c>
      <c r="C12" s="22" t="s">
        <v>113</v>
      </c>
      <c r="D12" s="22" t="s">
        <v>123</v>
      </c>
      <c r="E12" s="22" t="s">
        <v>124</v>
      </c>
      <c r="F12" s="22" t="s">
        <v>125</v>
      </c>
      <c r="G12" s="22" t="s">
        <v>117</v>
      </c>
    </row>
    <row r="13" spans="1:7" ht="28.5">
      <c r="B13" s="21" t="s">
        <v>126</v>
      </c>
      <c r="C13" s="22" t="s">
        <v>113</v>
      </c>
      <c r="D13" s="22" t="s">
        <v>127</v>
      </c>
      <c r="E13" s="22" t="s">
        <v>128</v>
      </c>
      <c r="F13" s="22" t="s">
        <v>129</v>
      </c>
      <c r="G13" s="22" t="s">
        <v>117</v>
      </c>
    </row>
    <row r="14" spans="1:7" ht="28.5">
      <c r="B14" s="21" t="s">
        <v>130</v>
      </c>
      <c r="C14" s="22" t="s">
        <v>113</v>
      </c>
      <c r="D14" s="22" t="s">
        <v>131</v>
      </c>
      <c r="E14" s="22" t="s">
        <v>132</v>
      </c>
      <c r="F14" s="22" t="s">
        <v>133</v>
      </c>
      <c r="G14" s="22" t="s">
        <v>117</v>
      </c>
    </row>
    <row r="15" spans="1:7" ht="42.75">
      <c r="B15" s="21" t="s">
        <v>134</v>
      </c>
      <c r="C15" s="22" t="s">
        <v>113</v>
      </c>
      <c r="D15" s="22" t="s">
        <v>135</v>
      </c>
      <c r="E15" s="22" t="s">
        <v>136</v>
      </c>
      <c r="F15" s="22" t="s">
        <v>137</v>
      </c>
      <c r="G15" s="22" t="s">
        <v>117</v>
      </c>
    </row>
    <row r="16" spans="1:7" ht="15">
      <c r="B16" s="26" t="s">
        <v>138</v>
      </c>
      <c r="C16" s="27"/>
      <c r="D16" s="27"/>
      <c r="E16" s="27"/>
      <c r="F16" s="27"/>
      <c r="G16" s="28"/>
    </row>
    <row r="17" spans="2:7" ht="28.5">
      <c r="B17" s="21" t="s">
        <v>139</v>
      </c>
      <c r="C17" s="22" t="s">
        <v>140</v>
      </c>
      <c r="D17" s="22" t="s">
        <v>141</v>
      </c>
      <c r="E17" s="22" t="s">
        <v>142</v>
      </c>
      <c r="F17" s="22" t="s">
        <v>143</v>
      </c>
      <c r="G17" s="22" t="s">
        <v>117</v>
      </c>
    </row>
    <row r="18" spans="2:7" ht="42.75">
      <c r="B18" s="21" t="s">
        <v>144</v>
      </c>
      <c r="C18" s="22" t="s">
        <v>140</v>
      </c>
      <c r="D18" s="22" t="s">
        <v>145</v>
      </c>
      <c r="E18" s="22" t="s">
        <v>146</v>
      </c>
      <c r="F18" s="22" t="s">
        <v>147</v>
      </c>
      <c r="G18" s="22" t="s">
        <v>117</v>
      </c>
    </row>
    <row r="19" spans="2:7" ht="28.5">
      <c r="B19" s="21" t="s">
        <v>148</v>
      </c>
      <c r="C19" s="22" t="s">
        <v>140</v>
      </c>
      <c r="D19" s="22" t="s">
        <v>149</v>
      </c>
      <c r="E19" s="22" t="s">
        <v>150</v>
      </c>
      <c r="F19" s="22" t="s">
        <v>151</v>
      </c>
      <c r="G19" s="22" t="s">
        <v>117</v>
      </c>
    </row>
    <row r="20" spans="2:7" ht="42.75">
      <c r="B20" s="21" t="s">
        <v>152</v>
      </c>
      <c r="C20" s="22" t="s">
        <v>140</v>
      </c>
      <c r="D20" s="22" t="s">
        <v>153</v>
      </c>
      <c r="E20" s="22" t="s">
        <v>154</v>
      </c>
      <c r="F20" s="22" t="s">
        <v>155</v>
      </c>
      <c r="G20" s="22" t="s">
        <v>117</v>
      </c>
    </row>
    <row r="21" spans="2:7" ht="28.5">
      <c r="B21" s="21" t="s">
        <v>156</v>
      </c>
      <c r="C21" s="22" t="s">
        <v>140</v>
      </c>
      <c r="D21" s="22" t="s">
        <v>157</v>
      </c>
      <c r="E21" s="22" t="s">
        <v>158</v>
      </c>
      <c r="F21" s="22" t="s">
        <v>159</v>
      </c>
      <c r="G21" s="22" t="s">
        <v>117</v>
      </c>
    </row>
    <row r="22" spans="2:7" ht="42.75">
      <c r="B22" s="21" t="s">
        <v>160</v>
      </c>
      <c r="C22" s="22" t="s">
        <v>140</v>
      </c>
      <c r="D22" s="22" t="s">
        <v>161</v>
      </c>
      <c r="E22" s="22" t="s">
        <v>162</v>
      </c>
      <c r="F22" s="22" t="s">
        <v>163</v>
      </c>
      <c r="G22" s="22" t="s">
        <v>117</v>
      </c>
    </row>
    <row r="23" spans="2:7" ht="42.75">
      <c r="B23" s="21" t="s">
        <v>164</v>
      </c>
      <c r="C23" s="22" t="s">
        <v>140</v>
      </c>
      <c r="D23" s="22" t="s">
        <v>165</v>
      </c>
      <c r="E23" s="22" t="s">
        <v>166</v>
      </c>
      <c r="F23" s="22" t="s">
        <v>167</v>
      </c>
      <c r="G23" s="22" t="s">
        <v>117</v>
      </c>
    </row>
    <row r="24" spans="2:7" ht="28.5">
      <c r="B24" s="21" t="s">
        <v>168</v>
      </c>
      <c r="C24" s="22" t="s">
        <v>140</v>
      </c>
      <c r="D24" s="22" t="s">
        <v>169</v>
      </c>
      <c r="E24" s="22" t="s">
        <v>170</v>
      </c>
      <c r="F24" s="22" t="s">
        <v>171</v>
      </c>
      <c r="G24" s="22" t="s">
        <v>117</v>
      </c>
    </row>
    <row r="25" spans="2:7" ht="28.5">
      <c r="B25" s="21" t="s">
        <v>172</v>
      </c>
      <c r="C25" s="22" t="s">
        <v>140</v>
      </c>
      <c r="D25" s="22" t="s">
        <v>173</v>
      </c>
      <c r="E25" s="22" t="s">
        <v>174</v>
      </c>
      <c r="F25" s="22" t="s">
        <v>175</v>
      </c>
      <c r="G25" s="22" t="s">
        <v>117</v>
      </c>
    </row>
    <row r="26" spans="2:7" ht="15">
      <c r="B26" s="32" t="s">
        <v>176</v>
      </c>
      <c r="C26" s="33"/>
      <c r="D26" s="33"/>
      <c r="E26" s="33"/>
      <c r="F26" s="33"/>
      <c r="G26" s="34"/>
    </row>
    <row r="27" spans="2:7" ht="28.5">
      <c r="B27" s="21" t="s">
        <v>177</v>
      </c>
      <c r="C27" s="22" t="s">
        <v>178</v>
      </c>
      <c r="D27" s="22" t="s">
        <v>179</v>
      </c>
      <c r="E27" s="22" t="s">
        <v>180</v>
      </c>
      <c r="F27" s="22" t="s">
        <v>181</v>
      </c>
      <c r="G27" s="22" t="s">
        <v>117</v>
      </c>
    </row>
    <row r="28" spans="2:7" ht="28.5">
      <c r="B28" s="21" t="s">
        <v>182</v>
      </c>
      <c r="C28" s="22" t="s">
        <v>178</v>
      </c>
      <c r="D28" s="22" t="s">
        <v>183</v>
      </c>
      <c r="E28" s="22" t="s">
        <v>184</v>
      </c>
      <c r="F28" s="22" t="s">
        <v>185</v>
      </c>
      <c r="G28" s="22" t="s">
        <v>117</v>
      </c>
    </row>
    <row r="29" spans="2:7" ht="28.5">
      <c r="B29" s="21" t="s">
        <v>186</v>
      </c>
      <c r="C29" s="22" t="s">
        <v>178</v>
      </c>
      <c r="D29" s="22" t="s">
        <v>187</v>
      </c>
      <c r="E29" s="22" t="s">
        <v>188</v>
      </c>
      <c r="F29" s="22" t="s">
        <v>189</v>
      </c>
      <c r="G29" s="22" t="s">
        <v>117</v>
      </c>
    </row>
    <row r="30" spans="2:7" ht="28.5">
      <c r="B30" s="21" t="s">
        <v>190</v>
      </c>
      <c r="C30" s="22" t="s">
        <v>178</v>
      </c>
      <c r="D30" s="22" t="s">
        <v>191</v>
      </c>
      <c r="E30" s="22" t="s">
        <v>192</v>
      </c>
      <c r="F30" s="22" t="s">
        <v>193</v>
      </c>
      <c r="G30" s="22" t="s">
        <v>117</v>
      </c>
    </row>
    <row r="31" spans="2:7" ht="42.75">
      <c r="B31" s="21" t="s">
        <v>194</v>
      </c>
      <c r="C31" s="22" t="s">
        <v>178</v>
      </c>
      <c r="D31" s="22" t="s">
        <v>195</v>
      </c>
      <c r="E31" s="22" t="s">
        <v>196</v>
      </c>
      <c r="F31" s="22" t="s">
        <v>197</v>
      </c>
      <c r="G31" s="22" t="s">
        <v>117</v>
      </c>
    </row>
    <row r="32" spans="2:7" ht="42.75">
      <c r="B32" s="21" t="s">
        <v>198</v>
      </c>
      <c r="C32" s="22" t="s">
        <v>178</v>
      </c>
      <c r="D32" s="22" t="s">
        <v>199</v>
      </c>
      <c r="E32" s="22" t="s">
        <v>200</v>
      </c>
      <c r="F32" s="22" t="s">
        <v>201</v>
      </c>
      <c r="G32" s="22" t="s">
        <v>117</v>
      </c>
    </row>
    <row r="33" spans="1:7" ht="28.5">
      <c r="B33" s="21" t="s">
        <v>202</v>
      </c>
      <c r="C33" s="22" t="s">
        <v>178</v>
      </c>
      <c r="D33" s="22" t="s">
        <v>203</v>
      </c>
      <c r="E33" s="22" t="s">
        <v>204</v>
      </c>
      <c r="F33" s="22" t="s">
        <v>205</v>
      </c>
      <c r="G33" s="22" t="s">
        <v>117</v>
      </c>
    </row>
    <row r="34" spans="1:7" ht="28.5">
      <c r="B34" s="21" t="s">
        <v>206</v>
      </c>
      <c r="C34" s="22" t="s">
        <v>178</v>
      </c>
      <c r="D34" s="22" t="s">
        <v>207</v>
      </c>
      <c r="E34" s="22" t="s">
        <v>208</v>
      </c>
      <c r="F34" s="22" t="s">
        <v>209</v>
      </c>
      <c r="G34" s="22" t="s">
        <v>117</v>
      </c>
    </row>
    <row r="35" spans="1:7" ht="42.75">
      <c r="B35" s="21" t="s">
        <v>210</v>
      </c>
      <c r="C35" s="22" t="s">
        <v>178</v>
      </c>
      <c r="D35" s="22" t="s">
        <v>211</v>
      </c>
      <c r="E35" s="22" t="s">
        <v>212</v>
      </c>
      <c r="F35" s="22" t="s">
        <v>133</v>
      </c>
      <c r="G35" s="22" t="s">
        <v>117</v>
      </c>
    </row>
    <row r="36" spans="1:7" ht="15">
      <c r="B36" s="29" t="s">
        <v>213</v>
      </c>
      <c r="C36" s="30"/>
      <c r="D36" s="30"/>
      <c r="E36" s="30"/>
      <c r="F36" s="30"/>
      <c r="G36" s="31"/>
    </row>
    <row r="37" spans="1:7" ht="42.75">
      <c r="B37" s="21" t="s">
        <v>214</v>
      </c>
      <c r="C37" s="22" t="s">
        <v>215</v>
      </c>
      <c r="D37" s="22" t="s">
        <v>216</v>
      </c>
      <c r="E37" s="35" t="s">
        <v>217</v>
      </c>
      <c r="F37" s="22" t="s">
        <v>218</v>
      </c>
      <c r="G37" s="22" t="s">
        <v>117</v>
      </c>
    </row>
    <row r="38" spans="1:7" ht="57">
      <c r="B38" s="21" t="s">
        <v>219</v>
      </c>
      <c r="C38" s="22" t="s">
        <v>215</v>
      </c>
      <c r="D38" s="22" t="s">
        <v>220</v>
      </c>
      <c r="E38" s="22" t="s">
        <v>221</v>
      </c>
      <c r="F38" s="22" t="s">
        <v>222</v>
      </c>
      <c r="G38" s="22" t="s">
        <v>117</v>
      </c>
    </row>
    <row r="39" spans="1:7" ht="42.75">
      <c r="B39" s="21" t="s">
        <v>223</v>
      </c>
      <c r="C39" s="22" t="s">
        <v>215</v>
      </c>
      <c r="D39" s="22" t="s">
        <v>224</v>
      </c>
      <c r="E39" s="22" t="s">
        <v>225</v>
      </c>
      <c r="F39" s="22" t="s">
        <v>226</v>
      </c>
      <c r="G39" s="22" t="s">
        <v>117</v>
      </c>
    </row>
    <row r="40" spans="1:7" ht="28.5">
      <c r="B40" s="21" t="s">
        <v>227</v>
      </c>
      <c r="C40" s="22" t="s">
        <v>215</v>
      </c>
      <c r="D40" s="22" t="s">
        <v>228</v>
      </c>
      <c r="E40" s="22" t="s">
        <v>229</v>
      </c>
      <c r="F40" s="22" t="s">
        <v>137</v>
      </c>
      <c r="G40" s="22" t="s">
        <v>117</v>
      </c>
    </row>
    <row r="41" spans="1:7" ht="28.5">
      <c r="B41" s="21" t="s">
        <v>230</v>
      </c>
      <c r="C41" s="22" t="s">
        <v>215</v>
      </c>
      <c r="D41" s="22" t="s">
        <v>231</v>
      </c>
      <c r="E41" s="22" t="s">
        <v>232</v>
      </c>
      <c r="F41" s="22" t="s">
        <v>233</v>
      </c>
      <c r="G41" s="22" t="s">
        <v>117</v>
      </c>
    </row>
    <row r="42" spans="1:7" ht="28.5">
      <c r="B42" s="21" t="s">
        <v>234</v>
      </c>
      <c r="C42" s="22" t="s">
        <v>215</v>
      </c>
      <c r="D42" s="22" t="s">
        <v>235</v>
      </c>
      <c r="E42" s="22" t="s">
        <v>236</v>
      </c>
      <c r="F42" s="22" t="s">
        <v>237</v>
      </c>
      <c r="G42" s="22" t="s">
        <v>117</v>
      </c>
    </row>
    <row r="43" spans="1:7" ht="33">
      <c r="B43" s="21" t="s">
        <v>238</v>
      </c>
      <c r="C43" s="22" t="s">
        <v>215</v>
      </c>
      <c r="D43" s="22" t="s">
        <v>239</v>
      </c>
      <c r="E43" s="22" t="s">
        <v>246</v>
      </c>
      <c r="F43" s="22" t="s">
        <v>240</v>
      </c>
      <c r="G43" s="22" t="s">
        <v>117</v>
      </c>
    </row>
    <row r="44" spans="1:7">
      <c r="B44" s="16"/>
      <c r="C44" s="15"/>
      <c r="D44" s="15"/>
      <c r="E44" s="15"/>
      <c r="F44" s="15"/>
      <c r="G44" s="15"/>
    </row>
    <row r="45" spans="1:7" ht="15">
      <c r="A45" s="18" t="s">
        <v>285</v>
      </c>
      <c r="C45" s="15"/>
      <c r="D45" s="15"/>
      <c r="E45" s="15"/>
      <c r="F45" s="15"/>
      <c r="G45" s="15"/>
    </row>
    <row r="46" spans="1:7" ht="15">
      <c r="A46" s="18"/>
      <c r="C46" s="15"/>
      <c r="D46" s="15"/>
      <c r="E46" s="15"/>
      <c r="F46" s="15"/>
      <c r="G46" s="15"/>
    </row>
    <row r="47" spans="1:7" ht="18.75">
      <c r="B47" s="36" t="s">
        <v>286</v>
      </c>
      <c r="C47" s="37"/>
      <c r="D47" s="36" t="s">
        <v>247</v>
      </c>
      <c r="E47" s="36" t="s">
        <v>248</v>
      </c>
      <c r="F47" s="36" t="s">
        <v>109</v>
      </c>
      <c r="G47" s="36" t="s">
        <v>110</v>
      </c>
    </row>
    <row r="48" spans="1:7" ht="45">
      <c r="B48" s="38" t="s">
        <v>241</v>
      </c>
      <c r="C48" s="38" t="s">
        <v>242</v>
      </c>
      <c r="D48" s="38" t="s">
        <v>249</v>
      </c>
      <c r="E48" s="38" t="s">
        <v>250</v>
      </c>
      <c r="F48" s="38" t="s">
        <v>251</v>
      </c>
      <c r="G48" s="38" t="s">
        <v>117</v>
      </c>
    </row>
    <row r="49" spans="2:7" ht="60">
      <c r="B49" s="38" t="s">
        <v>243</v>
      </c>
      <c r="C49" s="38" t="s">
        <v>242</v>
      </c>
      <c r="D49" s="38" t="s">
        <v>252</v>
      </c>
      <c r="E49" s="38" t="s">
        <v>253</v>
      </c>
      <c r="F49" s="38" t="s">
        <v>222</v>
      </c>
      <c r="G49" s="38" t="s">
        <v>117</v>
      </c>
    </row>
    <row r="50" spans="2:7" ht="60">
      <c r="B50" s="38" t="s">
        <v>244</v>
      </c>
      <c r="C50" s="38" t="s">
        <v>242</v>
      </c>
      <c r="D50" s="38" t="s">
        <v>254</v>
      </c>
      <c r="E50" s="38" t="s">
        <v>255</v>
      </c>
      <c r="F50" s="38" t="s">
        <v>256</v>
      </c>
      <c r="G50" s="38" t="s">
        <v>117</v>
      </c>
    </row>
    <row r="51" spans="2:7" ht="75">
      <c r="B51" s="38" t="s">
        <v>245</v>
      </c>
      <c r="C51" s="38" t="s">
        <v>242</v>
      </c>
      <c r="D51" s="38" t="s">
        <v>257</v>
      </c>
      <c r="E51" s="38" t="s">
        <v>258</v>
      </c>
      <c r="F51" s="38" t="s">
        <v>240</v>
      </c>
      <c r="G51" s="38" t="s">
        <v>117</v>
      </c>
    </row>
    <row r="52" spans="2:7" ht="75">
      <c r="B52" s="38" t="s">
        <v>259</v>
      </c>
      <c r="C52" s="38" t="s">
        <v>242</v>
      </c>
      <c r="D52" s="38" t="s">
        <v>260</v>
      </c>
      <c r="E52" s="38" t="s">
        <v>261</v>
      </c>
      <c r="F52" s="38" t="s">
        <v>233</v>
      </c>
      <c r="G52" s="38" t="s">
        <v>117</v>
      </c>
    </row>
    <row r="53" spans="2:7" ht="60">
      <c r="B53" s="38" t="s">
        <v>262</v>
      </c>
      <c r="C53" s="38" t="s">
        <v>242</v>
      </c>
      <c r="D53" s="38" t="s">
        <v>263</v>
      </c>
      <c r="E53" s="38" t="s">
        <v>264</v>
      </c>
      <c r="F53" s="38" t="s">
        <v>233</v>
      </c>
      <c r="G53" s="38" t="s">
        <v>117</v>
      </c>
    </row>
    <row r="54" spans="2:7" ht="45">
      <c r="B54" s="38" t="s">
        <v>265</v>
      </c>
      <c r="C54" s="38" t="s">
        <v>242</v>
      </c>
      <c r="D54" s="38" t="s">
        <v>266</v>
      </c>
      <c r="E54" s="38" t="s">
        <v>267</v>
      </c>
      <c r="F54" s="38" t="s">
        <v>240</v>
      </c>
      <c r="G54" s="38" t="s">
        <v>117</v>
      </c>
    </row>
    <row r="55" spans="2:7" ht="45">
      <c r="B55" s="38" t="s">
        <v>268</v>
      </c>
      <c r="C55" s="38" t="s">
        <v>242</v>
      </c>
      <c r="D55" s="38" t="s">
        <v>269</v>
      </c>
      <c r="E55" s="38" t="s">
        <v>270</v>
      </c>
      <c r="F55" s="38" t="s">
        <v>271</v>
      </c>
      <c r="G55" s="38" t="s">
        <v>117</v>
      </c>
    </row>
    <row r="56" spans="2:7" ht="45">
      <c r="B56" s="38" t="s">
        <v>272</v>
      </c>
      <c r="C56" s="38" t="s">
        <v>242</v>
      </c>
      <c r="D56" s="38" t="s">
        <v>273</v>
      </c>
      <c r="E56" s="38" t="s">
        <v>274</v>
      </c>
      <c r="F56" s="38" t="s">
        <v>240</v>
      </c>
      <c r="G56" s="38" t="s">
        <v>117</v>
      </c>
    </row>
    <row r="57" spans="2:7" ht="45">
      <c r="B57" s="38" t="s">
        <v>275</v>
      </c>
      <c r="C57" s="38" t="s">
        <v>242</v>
      </c>
      <c r="D57" s="38" t="s">
        <v>276</v>
      </c>
      <c r="E57" s="38" t="s">
        <v>277</v>
      </c>
      <c r="F57" s="38" t="s">
        <v>240</v>
      </c>
      <c r="G57" s="38" t="s">
        <v>117</v>
      </c>
    </row>
    <row r="58" spans="2:7">
      <c r="B58" s="39" t="s">
        <v>284</v>
      </c>
      <c r="C58" s="40"/>
      <c r="D58" s="40"/>
      <c r="E58" s="40"/>
      <c r="F58" s="40"/>
      <c r="G58" s="41"/>
    </row>
    <row r="59" spans="2:7" ht="75">
      <c r="B59" s="38" t="s">
        <v>278</v>
      </c>
      <c r="C59" s="38" t="s">
        <v>242</v>
      </c>
      <c r="D59" s="38" t="s">
        <v>279</v>
      </c>
      <c r="E59" s="38" t="s">
        <v>280</v>
      </c>
      <c r="F59" s="38" t="s">
        <v>185</v>
      </c>
      <c r="G59" s="38" t="s">
        <v>117</v>
      </c>
    </row>
    <row r="60" spans="2:7" ht="60">
      <c r="B60" s="38" t="s">
        <v>281</v>
      </c>
      <c r="C60" s="38" t="s">
        <v>242</v>
      </c>
      <c r="D60" s="38" t="s">
        <v>282</v>
      </c>
      <c r="E60" s="38" t="s">
        <v>283</v>
      </c>
      <c r="F60" s="38" t="s">
        <v>137</v>
      </c>
      <c r="G60" s="38" t="s">
        <v>117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Demo1_REQ</vt:lpstr>
      <vt:lpstr>LIN_Stack_REQ_v2</vt:lpstr>
      <vt:lpstr>LIN_AUTOSAR_Trace</vt:lpstr>
      <vt:lpstr>LIN_Spec_Trace</vt:lpstr>
      <vt:lpstr>LIN_Architecture</vt:lpstr>
      <vt:lpstr>TRA_REQ</vt:lpstr>
      <vt:lpstr>LIN_Stack_REQ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kobayashi-t</dc:creator>
  <cp:lastModifiedBy>Napat Chumcheurn</cp:lastModifiedBy>
  <dcterms:created xsi:type="dcterms:W3CDTF">2015-06-05T18:19:34Z</dcterms:created>
  <dcterms:modified xsi:type="dcterms:W3CDTF">2026-06-09T10:19:04Z</dcterms:modified>
</cp:coreProperties>
</file>